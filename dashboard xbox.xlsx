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490" windowHeight="7635" tabRatio="634" activeTab="1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52511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3" l="1"/>
  <c r="F26" i="3"/>
</calcChain>
</file>

<file path=xl/sharedStrings.xml><?xml version="1.0" encoding="utf-8"?>
<sst xmlns="http://schemas.openxmlformats.org/spreadsheetml/2006/main" count="351" uniqueCount="110">
  <si>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</si>
  <si>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</si>
  <si>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</si>
  <si>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</si>
  <si>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</si>
  <si>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</si>
  <si>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</si>
  <si>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</si>
  <si>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</si>
  <si>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</si>
  <si>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</si>
  <si>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Subscription Type</t>
  </si>
  <si>
    <t>Ultimate</t>
  </si>
  <si>
    <t>Yes</t>
  </si>
  <si>
    <t>Core</t>
  </si>
  <si>
    <t>No</t>
  </si>
  <si>
    <t>Standard</t>
  </si>
  <si>
    <t>Quarterly</t>
  </si>
  <si>
    <t xml:space="preserve">É uma pergunta de negocio respondida atraves de alguma analise de dado especifica </t>
  </si>
  <si>
    <t>Rótulos de Linha</t>
  </si>
  <si>
    <t>Total Geral</t>
  </si>
  <si>
    <t>Soma de Total Value</t>
  </si>
  <si>
    <t>Pergunta de negócio 2 - Qual fat total de vendas de planos anuais, separando por auto renovação ou que não é por auto renovação</t>
  </si>
  <si>
    <r>
      <t>Pergunta de negócio 1 - Qual fat.</t>
    </r>
    <r>
      <rPr>
        <b/>
        <sz val="11"/>
        <color theme="1"/>
        <rFont val="Aptos Narrow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>(contendo todas as assinaturas agregadas)</t>
    </r>
  </si>
  <si>
    <t>Pergunta de negócio 3 - total de vendas de assinaturas do EA Play</t>
  </si>
  <si>
    <t>Soma de EA Play Season Pass</t>
  </si>
  <si>
    <t>Pergunta de negócio 4 - total de vendas de assinaturas do minecraft sease pass</t>
  </si>
  <si>
    <t>Soma de Minecraft Season Pass Price</t>
  </si>
  <si>
    <t xml:space="preserve">          XBOX GAME SUBSCRIPTIONS SALES</t>
  </si>
  <si>
    <t>período de apuração: 13/11/2025  | Update date: 00:06</t>
  </si>
  <si>
    <t>22/01/2025</t>
  </si>
  <si>
    <t>Yamaha MT-03</t>
  </si>
  <si>
    <t>Esportiva</t>
  </si>
  <si>
    <t>Letícia</t>
  </si>
  <si>
    <t>RS</t>
  </si>
  <si>
    <t>25/02/2025</t>
  </si>
  <si>
    <t>Yamaha Fazer 250</t>
  </si>
  <si>
    <t>Street</t>
  </si>
  <si>
    <t>Marcos</t>
  </si>
  <si>
    <t>SP</t>
  </si>
  <si>
    <t>01/02/2025</t>
  </si>
  <si>
    <t>Honda CG 160</t>
  </si>
  <si>
    <t>Bruno</t>
  </si>
  <si>
    <t>MG</t>
  </si>
  <si>
    <t>27/01/2025</t>
  </si>
  <si>
    <t>Royal Enfield Himalayan</t>
  </si>
  <si>
    <t>Trail</t>
  </si>
  <si>
    <t>PR</t>
  </si>
  <si>
    <t>21/01/2025</t>
  </si>
  <si>
    <t>Yamaha NMax 160</t>
  </si>
  <si>
    <t>Scooter</t>
  </si>
  <si>
    <t>Paula</t>
  </si>
  <si>
    <t>26/02/2025</t>
  </si>
  <si>
    <t>Suzuki Burgman 125</t>
  </si>
  <si>
    <t>Ana</t>
  </si>
  <si>
    <t>RJ</t>
  </si>
  <si>
    <t>30/04/2025</t>
  </si>
  <si>
    <t>BMW G 310 GS</t>
  </si>
  <si>
    <t>12/02/2025</t>
  </si>
  <si>
    <t>29/01/2025</t>
  </si>
  <si>
    <t>01/04/2025</t>
  </si>
  <si>
    <t>07/04/2025</t>
  </si>
  <si>
    <t>Kawasaki Ninja 400</t>
  </si>
  <si>
    <t>25/03/2025</t>
  </si>
  <si>
    <t>15/01/2025</t>
  </si>
  <si>
    <t>15/02/2025</t>
  </si>
  <si>
    <t>10/03/2025</t>
  </si>
  <si>
    <t>23/03/2025</t>
  </si>
  <si>
    <t>12/04/2025</t>
  </si>
  <si>
    <t>30/03/2025</t>
  </si>
  <si>
    <t>Honda XRE 300</t>
  </si>
  <si>
    <t>02/01/2025</t>
  </si>
  <si>
    <t>10/04/2025</t>
  </si>
  <si>
    <t>03/01/2025</t>
  </si>
  <si>
    <t>27/03/2025</t>
  </si>
  <si>
    <t>05/03/2025</t>
  </si>
  <si>
    <t>14/03/2025</t>
  </si>
  <si>
    <t>13/01/2025</t>
  </si>
  <si>
    <t>13/02/2025</t>
  </si>
  <si>
    <t>15/04/2025</t>
  </si>
  <si>
    <t>Harley Davidson Iron 883</t>
  </si>
  <si>
    <t>Custom</t>
  </si>
  <si>
    <t>16/01/2025</t>
  </si>
  <si>
    <t>24/03/2025</t>
  </si>
  <si>
    <t>Honda Biz 125</t>
  </si>
  <si>
    <t>08/01/2025</t>
  </si>
  <si>
    <t>09/04/2025</t>
  </si>
  <si>
    <t>28/01/2025</t>
  </si>
  <si>
    <t>09/02/2025</t>
  </si>
  <si>
    <t>23/04/2025</t>
  </si>
  <si>
    <t>04/03/2025</t>
  </si>
  <si>
    <t>04/04/2025</t>
  </si>
  <si>
    <t>13/03/2025</t>
  </si>
  <si>
    <t>19/01/2025</t>
  </si>
  <si>
    <t>23/01/2025</t>
  </si>
  <si>
    <t>26/03/2025</t>
  </si>
  <si>
    <t>24/02/2025</t>
  </si>
  <si>
    <t>21/03/2025</t>
  </si>
  <si>
    <t>08/04/2025</t>
  </si>
  <si>
    <t>18/01/2025</t>
  </si>
  <si>
    <t>31/01/2025</t>
  </si>
  <si>
    <t>18/03/2025</t>
  </si>
  <si>
    <t>DATA</t>
  </si>
  <si>
    <t>MODELO</t>
  </si>
  <si>
    <t>CATEGORIA</t>
  </si>
  <si>
    <t>VENDEDOR</t>
  </si>
  <si>
    <t>REGIÃO</t>
  </si>
  <si>
    <t>PREÇO</t>
  </si>
  <si>
    <t>TOTAL</t>
  </si>
  <si>
    <t>QUANT.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</si>
</sst>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3"/>
      <color theme="3"/>
      <name val="Segoe UI"/>
      <family val="2"/>
    </font>
    <font>
      <b/>
      <sz val="16"/>
      <color rgb="FF22C01A"/>
      <name val="Segoe UI"/>
      <family val="2"/>
    </font>
    <font>
      <sz val="14"/>
      <color theme="1"/>
      <name val="Aptos Narrow"/>
      <scheme val="minor"/>
    </font>
    <font>
      <sz val="14"/>
      <color theme="0" tint="-0.34998626667073579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  <border>
      <left/>
      <right/>
      <top/>
      <bottom style="thick">
        <color rgb="FF22C01A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8" borderId="0" xfId="0" applyFill="1"/>
    <xf numFmtId="0" fontId="0" fillId="9" borderId="0" xfId="0" applyFill="1"/>
    <xf numFmtId="164" fontId="0" fillId="0" borderId="0" xfId="0" applyNumberFormat="1"/>
    <xf numFmtId="0" fontId="7" fillId="10" borderId="4" xfId="3" applyFont="1" applyFill="1" applyBorder="1"/>
    <xf numFmtId="0" fontId="6" fillId="0" borderId="4" xfId="3" applyFont="1" applyBorder="1"/>
    <xf numFmtId="0" fontId="0" fillId="0" borderId="4" xfId="0" applyBorder="1"/>
    <xf numFmtId="0" fontId="7" fillId="10" borderId="3" xfId="3" applyFont="1" applyFill="1" applyBorder="1" applyAlignment="1">
      <alignment horizontal="left" indent="2"/>
    </xf>
    <xf numFmtId="0" fontId="8" fillId="9" borderId="0" xfId="0" applyFont="1" applyFill="1"/>
    <xf numFmtId="0" fontId="9" fillId="9" borderId="0" xfId="0" applyFont="1" applyFill="1" applyAlignment="1">
      <alignment vertical="center"/>
    </xf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1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00B050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0"/>
      <tableStyleElement type="headerRow" dxfId="9"/>
    </tableStyle>
  </tableStyles>
  <colors>
    <mruColors>
      <color rgb="FF22C01A"/>
      <color rgb="FF22C55E"/>
      <color rgb="FF5BF6A8"/>
      <color rgb="FFF7F8FC"/>
      <color rgb="FF000000"/>
      <color rgb="FFE8E6E9"/>
      <color rgb="FFE0E0E0"/>
      <color rgb="FFEDEDED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xbox.xlsx]C̳álculos!tbl_annual_total</c:name>
    <c:fmtId val="3"/>
  </c:pivotSource>
  <c:chart>
    <c:autoTitleDeleted val="1"/>
    <c:pivotFmts>
      <c:pivotFmt>
        <c:idx val="0"/>
        <c:spPr>
          <a:solidFill>
            <a:srgbClr val="22C01A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22C01A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01A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01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General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198171472"/>
        <c:axId val="-1198177456"/>
      </c:barChart>
      <c:catAx>
        <c:axId val="-1198171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198177456"/>
        <c:crosses val="autoZero"/>
        <c:auto val="1"/>
        <c:lblAlgn val="ctr"/>
        <c:lblOffset val="100"/>
        <c:noMultiLvlLbl val="0"/>
      </c:catAx>
      <c:valAx>
        <c:axId val="-11981774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19817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=""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=""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=""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=""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=""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9</xdr:col>
      <xdr:colOff>304800</xdr:colOff>
      <xdr:row>5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304800</xdr:colOff>
      <xdr:row>5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1797846</xdr:colOff>
      <xdr:row>0</xdr:row>
      <xdr:rowOff>0</xdr:rowOff>
    </xdr:from>
    <xdr:to>
      <xdr:col>2</xdr:col>
      <xdr:colOff>500064</xdr:colOff>
      <xdr:row>2</xdr:row>
      <xdr:rowOff>295942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939"/>
        <a:stretch/>
      </xdr:blipFill>
      <xdr:spPr>
        <a:xfrm>
          <a:off x="1797846" y="0"/>
          <a:ext cx="916781" cy="974598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</xdr:colOff>
      <xdr:row>3</xdr:row>
      <xdr:rowOff>100013</xdr:rowOff>
    </xdr:from>
    <xdr:to>
      <xdr:col>0</xdr:col>
      <xdr:colOff>1900237</xdr:colOff>
      <xdr:row>17</xdr:row>
      <xdr:rowOff>147638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7" y="125662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343580</xdr:colOff>
      <xdr:row>7</xdr:row>
      <xdr:rowOff>362288</xdr:rowOff>
    </xdr:from>
    <xdr:to>
      <xdr:col>11</xdr:col>
      <xdr:colOff>462642</xdr:colOff>
      <xdr:row>17</xdr:row>
      <xdr:rowOff>161582</xdr:rowOff>
    </xdr:to>
    <xdr:grpSp>
      <xdr:nvGrpSpPr>
        <xdr:cNvPr id="11" name="Grupo 10"/>
        <xdr:cNvGrpSpPr/>
      </xdr:nvGrpSpPr>
      <xdr:grpSpPr>
        <a:xfrm>
          <a:off x="2561544" y="1981538"/>
          <a:ext cx="6242277" cy="1813151"/>
          <a:chOff x="2321719" y="1381124"/>
          <a:chExt cx="6215063" cy="1809749"/>
        </a:xfrm>
      </xdr:grpSpPr>
      <xdr:sp macro="" textlink="">
        <xdr:nvSpPr>
          <xdr:cNvPr id="7" name="Retângulo de cantos arredondados 6"/>
          <xdr:cNvSpPr/>
        </xdr:nvSpPr>
        <xdr:spPr>
          <a:xfrm>
            <a:off x="2333624" y="1452562"/>
            <a:ext cx="6203156" cy="1690687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050"/>
          </a:p>
        </xdr:txBody>
      </xdr:sp>
      <xdr:sp macro="" textlink="C̳álculos!F26">
        <xdr:nvSpPr>
          <xdr:cNvPr id="8" name="Retângulo de cantos arredondados 7"/>
          <xdr:cNvSpPr/>
        </xdr:nvSpPr>
        <xdr:spPr>
          <a:xfrm>
            <a:off x="4474368" y="1785936"/>
            <a:ext cx="3550444" cy="1404937"/>
          </a:xfrm>
          <a:prstGeom prst="roundRect">
            <a:avLst>
              <a:gd name="adj" fmla="val 525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7ED22C3-CB85-43CE-AC49-E0A6A88FB1D5}" type="TxLink">
              <a:rPr lang="en-US" sz="4000" b="0" i="0" u="none" strike="noStrike">
                <a:solidFill>
                  <a:srgbClr val="22C01A"/>
                </a:solidFill>
                <a:latin typeface="Aptos Narrow"/>
              </a:rPr>
              <a:pPr algn="ctr"/>
              <a:t>R$ 990,00</a:t>
            </a:fld>
            <a:endParaRPr lang="en-US" sz="34400" b="0">
              <a:solidFill>
                <a:srgbClr val="22C01A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=""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21781" y="1912142"/>
            <a:ext cx="1371600" cy="1152525"/>
          </a:xfrm>
          <a:prstGeom prst="rect">
            <a:avLst/>
          </a:prstGeom>
        </xdr:spPr>
      </xdr:pic>
      <xdr:sp macro="" textlink="">
        <xdr:nvSpPr>
          <xdr:cNvPr id="10" name="Arredondar Retângulo no Mesmo Canto Lateral 9"/>
          <xdr:cNvSpPr/>
        </xdr:nvSpPr>
        <xdr:spPr>
          <a:xfrm>
            <a:off x="2321719" y="1381124"/>
            <a:ext cx="6215063" cy="5715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SUBSCRIPTIOINS EA PLAY SEASON PASS</a:t>
            </a:r>
          </a:p>
          <a:p>
            <a:pPr algn="l"/>
            <a:endParaRPr lang="pt-BR" sz="1050"/>
          </a:p>
        </xdr:txBody>
      </xdr:sp>
    </xdr:grpSp>
    <xdr:clientData/>
  </xdr:twoCellAnchor>
  <xdr:twoCellAnchor>
    <xdr:from>
      <xdr:col>12</xdr:col>
      <xdr:colOff>279967</xdr:colOff>
      <xdr:row>7</xdr:row>
      <xdr:rowOff>373517</xdr:rowOff>
    </xdr:from>
    <xdr:to>
      <xdr:col>21</xdr:col>
      <xdr:colOff>399029</xdr:colOff>
      <xdr:row>17</xdr:row>
      <xdr:rowOff>125187</xdr:rowOff>
    </xdr:to>
    <xdr:grpSp>
      <xdr:nvGrpSpPr>
        <xdr:cNvPr id="21" name="Grupo 20"/>
        <xdr:cNvGrpSpPr/>
      </xdr:nvGrpSpPr>
      <xdr:grpSpPr>
        <a:xfrm>
          <a:off x="9124610" y="1992767"/>
          <a:ext cx="6242276" cy="1765527"/>
          <a:chOff x="9141619" y="1414463"/>
          <a:chExt cx="6334124" cy="1762125"/>
        </a:xfrm>
      </xdr:grpSpPr>
      <xdr:grpSp>
        <xdr:nvGrpSpPr>
          <xdr:cNvPr id="13" name="Grupo 12"/>
          <xdr:cNvGrpSpPr/>
        </xdr:nvGrpSpPr>
        <xdr:grpSpPr>
          <a:xfrm>
            <a:off x="9141619" y="1414463"/>
            <a:ext cx="6334124" cy="1762125"/>
            <a:chOff x="2321719" y="1381125"/>
            <a:chExt cx="6215063" cy="1762125"/>
          </a:xfrm>
        </xdr:grpSpPr>
        <xdr:sp macro="" textlink="">
          <xdr:nvSpPr>
            <xdr:cNvPr id="14" name="Retângulo de cantos arredondados 13"/>
            <xdr:cNvSpPr/>
          </xdr:nvSpPr>
          <xdr:spPr>
            <a:xfrm>
              <a:off x="2333625" y="1452562"/>
              <a:ext cx="6203155" cy="169068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050"/>
            </a:p>
          </xdr:txBody>
        </xdr:sp>
        <xdr:sp macro="" textlink="C̳álculos!F37">
          <xdr:nvSpPr>
            <xdr:cNvPr id="15" name="Retângulo de cantos arredondados 14"/>
            <xdr:cNvSpPr/>
          </xdr:nvSpPr>
          <xdr:spPr>
            <a:xfrm>
              <a:off x="4451003" y="1928813"/>
              <a:ext cx="3293710" cy="1193006"/>
            </a:xfrm>
            <a:prstGeom prst="roundRect">
              <a:avLst>
                <a:gd name="adj" fmla="val 5251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CF15872-9DBB-4641-A1CE-9BF3F77DED11}" type="TxLink">
                <a:rPr lang="en-US" sz="3600" b="0" i="0" u="none" strike="noStrike">
                  <a:solidFill>
                    <a:srgbClr val="22C01A"/>
                  </a:solidFill>
                  <a:latin typeface="Aptos Narrow"/>
                </a:rPr>
                <a:pPr algn="ctr"/>
                <a:t>R$ 1.140,00</a:t>
              </a:fld>
              <a:endParaRPr lang="en-US" sz="3600" b="0">
                <a:solidFill>
                  <a:srgbClr val="22C01A"/>
                </a:solidFill>
              </a:endParaRPr>
            </a:p>
          </xdr:txBody>
        </xdr:sp>
        <xdr:sp macro="" textlink="">
          <xdr:nvSpPr>
            <xdr:cNvPr id="17" name="Arredondar Retângulo no Mesmo Canto Lateral 16"/>
            <xdr:cNvSpPr/>
          </xdr:nvSpPr>
          <xdr:spPr>
            <a:xfrm>
              <a:off x="2321719" y="1381125"/>
              <a:ext cx="6215063" cy="5715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2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SUBSCRIPTIOINS MINECRAFT SEASON PASS</a:t>
              </a:r>
            </a:p>
            <a:p>
              <a:pPr algn="l"/>
              <a:endParaRPr lang="pt-BR" sz="1050"/>
            </a:p>
          </xdr:txBody>
        </xdr:sp>
      </xdr:grpSp>
      <xdr:grpSp>
        <xdr:nvGrpSpPr>
          <xdr:cNvPr id="18" name="Agrupar 16">
            <a:extLst>
              <a:ext uri="{FF2B5EF4-FFF2-40B4-BE49-F238E27FC236}">
                <a16:creationId xmlns=""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9558337" y="2140747"/>
            <a:ext cx="1395412" cy="657221"/>
            <a:chOff x="3495675" y="5400674"/>
            <a:chExt cx="1549476" cy="752472"/>
          </a:xfrm>
        </xdr:grpSpPr>
        <xdr:pic>
          <xdr:nvPicPr>
            <xdr:cNvPr id="19" name="Imagem 18">
              <a:extLst>
                <a:ext uri="{FF2B5EF4-FFF2-40B4-BE49-F238E27FC236}">
                  <a16:creationId xmlns=""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9" y="5400674"/>
              <a:ext cx="555497" cy="609598"/>
            </a:xfrm>
            <a:prstGeom prst="rect">
              <a:avLst/>
            </a:prstGeom>
          </xdr:spPr>
        </xdr:pic>
        <xdr:pic>
          <xdr:nvPicPr>
            <xdr:cNvPr id="20" name="Gráfico 13">
              <a:extLst>
                <a:ext uri="{FF2B5EF4-FFF2-40B4-BE49-F238E27FC236}">
                  <a16:creationId xmlns=""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3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64631</xdr:colOff>
      <xdr:row>18</xdr:row>
      <xdr:rowOff>134371</xdr:rowOff>
    </xdr:from>
    <xdr:to>
      <xdr:col>21</xdr:col>
      <xdr:colOff>469445</xdr:colOff>
      <xdr:row>43</xdr:row>
      <xdr:rowOff>52730</xdr:rowOff>
    </xdr:to>
    <xdr:grpSp>
      <xdr:nvGrpSpPr>
        <xdr:cNvPr id="23" name="Grupo 22"/>
        <xdr:cNvGrpSpPr/>
      </xdr:nvGrpSpPr>
      <xdr:grpSpPr>
        <a:xfrm>
          <a:off x="2282595" y="3944371"/>
          <a:ext cx="13154707" cy="4340680"/>
          <a:chOff x="2238373" y="3488532"/>
          <a:chExt cx="13335001" cy="4381501"/>
        </a:xfrm>
      </xdr:grpSpPr>
      <xdr:grpSp>
        <xdr:nvGrpSpPr>
          <xdr:cNvPr id="6" name="Grupo 5"/>
          <xdr:cNvGrpSpPr/>
        </xdr:nvGrpSpPr>
        <xdr:grpSpPr>
          <a:xfrm>
            <a:off x="2238374" y="3988595"/>
            <a:ext cx="13323095" cy="3881438"/>
            <a:chOff x="2214562" y="1750219"/>
            <a:chExt cx="6096000" cy="3881438"/>
          </a:xfrm>
        </xdr:grpSpPr>
        <xdr:sp macro="" textlink="">
          <xdr:nvSpPr>
            <xdr:cNvPr id="5" name="Retângulo de cantos arredondados 4"/>
            <xdr:cNvSpPr/>
          </xdr:nvSpPr>
          <xdr:spPr>
            <a:xfrm>
              <a:off x="2214562" y="1750219"/>
              <a:ext cx="6096000" cy="3881438"/>
            </a:xfrm>
            <a:prstGeom prst="roundRect">
              <a:avLst>
                <a:gd name="adj" fmla="val 899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2750344" y="1893092"/>
            <a:ext cx="5036344" cy="32385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22" name="Arredondar Retângulo no Mesmo Canto Lateral 21"/>
          <xdr:cNvSpPr/>
        </xdr:nvSpPr>
        <xdr:spPr>
          <a:xfrm>
            <a:off x="2238373" y="3488532"/>
            <a:ext cx="13335001" cy="5715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SUBSCRIPTIOINS XBOX GAME PASS</a:t>
            </a:r>
          </a:p>
        </xdr:txBody>
      </xdr:sp>
    </xdr:grpSp>
    <xdr:clientData/>
  </xdr:twoCellAnchor>
  <xdr:twoCellAnchor editAs="absolute">
    <xdr:from>
      <xdr:col>0</xdr:col>
      <xdr:colOff>380999</xdr:colOff>
      <xdr:row>0</xdr:row>
      <xdr:rowOff>119062</xdr:rowOff>
    </xdr:from>
    <xdr:to>
      <xdr:col>0</xdr:col>
      <xdr:colOff>1152524</xdr:colOff>
      <xdr:row>2</xdr:row>
      <xdr:rowOff>97631</xdr:rowOff>
    </xdr:to>
    <xdr:sp macro="" textlink="">
      <xdr:nvSpPr>
        <xdr:cNvPr id="24" name="Elipse 23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380999" y="119062"/>
          <a:ext cx="771525" cy="657225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95250</xdr:colOff>
      <xdr:row>2</xdr:row>
      <xdr:rowOff>154781</xdr:rowOff>
    </xdr:from>
    <xdr:to>
      <xdr:col>0</xdr:col>
      <xdr:colOff>1821656</xdr:colOff>
      <xdr:row>2</xdr:row>
      <xdr:rowOff>381000</xdr:rowOff>
    </xdr:to>
    <xdr:sp macro="" textlink="">
      <xdr:nvSpPr>
        <xdr:cNvPr id="25" name="Retângulo 24"/>
        <xdr:cNvSpPr/>
      </xdr:nvSpPr>
      <xdr:spPr>
        <a:xfrm>
          <a:off x="95250" y="833437"/>
          <a:ext cx="1726406" cy="2262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Ben vinda,</a:t>
          </a:r>
          <a:r>
            <a:rPr lang="pt-BR" sz="1100" b="1" baseline="0"/>
            <a:t> Ana</a:t>
          </a:r>
          <a:endParaRPr lang="pt-BR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73.947912268515" createdVersion="5" refreshedVersion="5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B34:C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B12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3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id="1" name="Tabela1" displayName="Tabela1" ref="B1:I295" totalsRowShown="0" dataDxfId="8">
  <autoFilter ref="B1:I295"/>
  <tableColumns count="8">
    <tableColumn id="1" name="DATA" dataDxfId="7"/>
    <tableColumn id="2" name="MODELO" dataDxfId="6"/>
    <tableColumn id="3" name="CATEGORIA" dataDxfId="5"/>
    <tableColumn id="4" name="VENDEDOR" dataDxfId="4"/>
    <tableColumn id="5" name="REGIÃO" dataDxfId="3"/>
    <tableColumn id="6" name="QUANT." dataDxfId="2" dataCellStyle="Moeda"/>
    <tableColumn id="7" name="PREÇO" dataDxfId="1"/>
    <tableColumn id="8" name="TOTAL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H7" sqref="H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1:I295"/>
  <sheetViews>
    <sheetView tabSelected="1" topLeftCell="A4" zoomScale="90" zoomScaleNormal="90" workbookViewId="0">
      <selection activeCell="K12" sqref="K12"/>
    </sheetView>
  </sheetViews>
  <sheetFormatPr defaultRowHeight="14.25"/>
  <cols>
    <col min="1" max="1" width="6.125" customWidth="1"/>
    <col min="2" max="2" width="17.875" bestFit="1" customWidth="1"/>
    <col min="3" max="3" width="26.625" customWidth="1"/>
    <col min="4" max="4" width="16.5" customWidth="1"/>
    <col min="5" max="5" width="15.75" customWidth="1"/>
    <col min="6" max="6" width="13.375" customWidth="1"/>
    <col min="7" max="7" width="10.375" customWidth="1"/>
    <col min="8" max="8" width="17.25" customWidth="1"/>
    <col min="9" max="9" width="16.125" customWidth="1"/>
  </cols>
  <sheetData>
    <row r="1" spans="2:9" ht="23.25" customHeight="1">
      <c r="B1" s="9" t="s">
        <v>102</v>
      </c>
      <c r="C1" s="9" t="s">
        <v>103</v>
      </c>
      <c r="D1" s="9" t="s">
        <v>104</v>
      </c>
      <c r="E1" s="9" t="s">
        <v>105</v>
      </c>
      <c r="F1" s="9" t="s">
        <v>106</v>
      </c>
      <c r="G1" s="9" t="s">
        <v>109</v>
      </c>
      <c r="H1" s="9" t="s">
        <v>107</v>
      </c>
      <c r="I1" s="9" t="s">
        <v>108</v>
      </c>
    </row>
    <row r="2" spans="2:9" ht="16.5" customHeight="1"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1</v>
      </c>
      <c r="H2">
        <v>32000</v>
      </c>
      <c r="I2">
        <v>32000</v>
      </c>
    </row>
    <row r="3" spans="2:9" ht="16.5" customHeight="1">
      <c r="B3" t="s">
        <v>35</v>
      </c>
      <c r="C3" t="s">
        <v>36</v>
      </c>
      <c r="D3" t="s">
        <v>37</v>
      </c>
      <c r="E3" t="s">
        <v>38</v>
      </c>
      <c r="F3" t="s">
        <v>39</v>
      </c>
      <c r="G3">
        <v>1</v>
      </c>
      <c r="H3">
        <v>19800</v>
      </c>
      <c r="I3">
        <v>19800</v>
      </c>
    </row>
    <row r="4" spans="2:9" ht="16.5" customHeight="1">
      <c r="B4" t="s">
        <v>40</v>
      </c>
      <c r="C4" t="s">
        <v>41</v>
      </c>
      <c r="D4" t="s">
        <v>37</v>
      </c>
      <c r="E4" t="s">
        <v>42</v>
      </c>
      <c r="F4" t="s">
        <v>43</v>
      </c>
      <c r="G4">
        <v>1</v>
      </c>
      <c r="H4">
        <v>14500</v>
      </c>
      <c r="I4">
        <v>14500</v>
      </c>
    </row>
    <row r="5" spans="2:9" ht="16.5" customHeight="1">
      <c r="B5" t="s">
        <v>44</v>
      </c>
      <c r="C5" t="s">
        <v>45</v>
      </c>
      <c r="D5" t="s">
        <v>46</v>
      </c>
      <c r="E5" t="s">
        <v>42</v>
      </c>
      <c r="F5" t="s">
        <v>47</v>
      </c>
      <c r="G5">
        <v>1</v>
      </c>
      <c r="H5">
        <v>28900</v>
      </c>
      <c r="I5">
        <v>28900</v>
      </c>
    </row>
    <row r="6" spans="2:9" ht="16.5" customHeight="1">
      <c r="B6" t="s">
        <v>48</v>
      </c>
      <c r="C6" t="s">
        <v>49</v>
      </c>
      <c r="D6" t="s">
        <v>50</v>
      </c>
      <c r="E6" t="s">
        <v>51</v>
      </c>
      <c r="F6" t="s">
        <v>34</v>
      </c>
      <c r="G6">
        <v>1</v>
      </c>
      <c r="H6">
        <v>16500</v>
      </c>
      <c r="I6">
        <v>16500</v>
      </c>
    </row>
    <row r="7" spans="2:9" ht="16.5" customHeight="1">
      <c r="B7" t="s">
        <v>52</v>
      </c>
      <c r="C7" t="s">
        <v>53</v>
      </c>
      <c r="D7" t="s">
        <v>50</v>
      </c>
      <c r="E7" t="s">
        <v>54</v>
      </c>
      <c r="F7" t="s">
        <v>55</v>
      </c>
      <c r="G7">
        <v>1</v>
      </c>
      <c r="H7">
        <v>11500</v>
      </c>
      <c r="I7">
        <v>11500</v>
      </c>
    </row>
    <row r="8" spans="2:9" ht="16.5" customHeight="1">
      <c r="B8" t="s">
        <v>56</v>
      </c>
      <c r="C8" t="s">
        <v>57</v>
      </c>
      <c r="D8" t="s">
        <v>46</v>
      </c>
      <c r="E8" t="s">
        <v>42</v>
      </c>
      <c r="F8" t="s">
        <v>43</v>
      </c>
      <c r="G8">
        <v>1</v>
      </c>
      <c r="H8">
        <v>34500</v>
      </c>
      <c r="I8">
        <v>34500</v>
      </c>
    </row>
    <row r="9" spans="2:9" ht="16.5" customHeight="1">
      <c r="B9" t="s">
        <v>58</v>
      </c>
      <c r="C9" t="s">
        <v>36</v>
      </c>
      <c r="D9" t="s">
        <v>37</v>
      </c>
      <c r="E9" t="s">
        <v>42</v>
      </c>
      <c r="F9" t="s">
        <v>43</v>
      </c>
      <c r="G9">
        <v>1</v>
      </c>
      <c r="H9">
        <v>19800</v>
      </c>
      <c r="I9">
        <v>19800</v>
      </c>
    </row>
    <row r="10" spans="2:9" ht="16.5" customHeight="1">
      <c r="B10" t="s">
        <v>59</v>
      </c>
      <c r="C10" t="s">
        <v>45</v>
      </c>
      <c r="D10" t="s">
        <v>46</v>
      </c>
      <c r="E10" t="s">
        <v>51</v>
      </c>
      <c r="F10" t="s">
        <v>34</v>
      </c>
      <c r="G10">
        <v>1</v>
      </c>
      <c r="H10">
        <v>28900</v>
      </c>
      <c r="I10">
        <v>28900</v>
      </c>
    </row>
    <row r="11" spans="2:9" ht="16.5" customHeight="1">
      <c r="B11" t="s">
        <v>60</v>
      </c>
      <c r="C11" t="s">
        <v>31</v>
      </c>
      <c r="D11" t="s">
        <v>32</v>
      </c>
      <c r="E11" t="s">
        <v>51</v>
      </c>
      <c r="F11" t="s">
        <v>43</v>
      </c>
      <c r="G11">
        <v>1</v>
      </c>
      <c r="H11">
        <v>32000</v>
      </c>
      <c r="I11">
        <v>32000</v>
      </c>
    </row>
    <row r="12" spans="2:9" ht="16.5" customHeight="1">
      <c r="B12" t="s">
        <v>48</v>
      </c>
      <c r="C12" t="s">
        <v>53</v>
      </c>
      <c r="D12" t="s">
        <v>50</v>
      </c>
      <c r="E12" t="s">
        <v>42</v>
      </c>
      <c r="F12" t="s">
        <v>43</v>
      </c>
      <c r="G12">
        <v>1</v>
      </c>
      <c r="H12">
        <v>11500</v>
      </c>
      <c r="I12">
        <v>11500</v>
      </c>
    </row>
    <row r="13" spans="2:9" ht="16.5" customHeight="1">
      <c r="B13" t="s">
        <v>56</v>
      </c>
      <c r="C13" t="s">
        <v>53</v>
      </c>
      <c r="D13" t="s">
        <v>50</v>
      </c>
      <c r="E13" t="s">
        <v>51</v>
      </c>
      <c r="F13" t="s">
        <v>39</v>
      </c>
      <c r="G13">
        <v>1</v>
      </c>
      <c r="H13">
        <v>11500</v>
      </c>
      <c r="I13">
        <v>11500</v>
      </c>
    </row>
    <row r="14" spans="2:9" ht="16.5" customHeight="1">
      <c r="B14" t="s">
        <v>61</v>
      </c>
      <c r="C14" t="s">
        <v>62</v>
      </c>
      <c r="D14" t="s">
        <v>32</v>
      </c>
      <c r="E14" t="s">
        <v>33</v>
      </c>
      <c r="F14" t="s">
        <v>43</v>
      </c>
      <c r="G14">
        <v>1</v>
      </c>
      <c r="H14">
        <v>38000</v>
      </c>
      <c r="I14">
        <v>38000</v>
      </c>
    </row>
    <row r="15" spans="2:9" ht="16.5" customHeight="1">
      <c r="B15" t="s">
        <v>63</v>
      </c>
      <c r="C15" t="s">
        <v>45</v>
      </c>
      <c r="D15" t="s">
        <v>46</v>
      </c>
      <c r="E15" t="s">
        <v>42</v>
      </c>
      <c r="F15" t="s">
        <v>39</v>
      </c>
      <c r="G15">
        <v>1</v>
      </c>
      <c r="H15">
        <v>28900</v>
      </c>
      <c r="I15">
        <v>28900</v>
      </c>
    </row>
    <row r="16" spans="2:9" ht="16.5" customHeight="1">
      <c r="B16" t="s">
        <v>64</v>
      </c>
      <c r="C16" t="s">
        <v>45</v>
      </c>
      <c r="D16" t="s">
        <v>46</v>
      </c>
      <c r="E16" t="s">
        <v>54</v>
      </c>
      <c r="F16" t="s">
        <v>34</v>
      </c>
      <c r="G16">
        <v>1</v>
      </c>
      <c r="H16">
        <v>28900</v>
      </c>
      <c r="I16">
        <v>28900</v>
      </c>
    </row>
    <row r="17" spans="2:9" ht="16.5" customHeight="1">
      <c r="B17" t="s">
        <v>65</v>
      </c>
      <c r="C17" t="s">
        <v>53</v>
      </c>
      <c r="D17" t="s">
        <v>50</v>
      </c>
      <c r="E17" t="s">
        <v>38</v>
      </c>
      <c r="F17" t="s">
        <v>43</v>
      </c>
      <c r="G17">
        <v>1</v>
      </c>
      <c r="H17">
        <v>11500</v>
      </c>
      <c r="I17">
        <v>11500</v>
      </c>
    </row>
    <row r="18" spans="2:9" ht="16.5" customHeight="1">
      <c r="B18" t="s">
        <v>66</v>
      </c>
      <c r="C18" t="s">
        <v>31</v>
      </c>
      <c r="D18" t="s">
        <v>32</v>
      </c>
      <c r="E18" t="s">
        <v>33</v>
      </c>
      <c r="F18" t="s">
        <v>34</v>
      </c>
      <c r="G18">
        <v>1</v>
      </c>
      <c r="H18">
        <v>32000</v>
      </c>
      <c r="I18">
        <v>32000</v>
      </c>
    </row>
    <row r="19" spans="2:9" ht="16.5" customHeight="1">
      <c r="B19" t="s">
        <v>67</v>
      </c>
      <c r="C19" t="s">
        <v>45</v>
      </c>
      <c r="D19" t="s">
        <v>46</v>
      </c>
      <c r="E19" t="s">
        <v>54</v>
      </c>
      <c r="F19" t="s">
        <v>43</v>
      </c>
      <c r="G19">
        <v>1</v>
      </c>
      <c r="H19">
        <v>28900</v>
      </c>
      <c r="I19">
        <v>28900</v>
      </c>
    </row>
    <row r="20" spans="2:9" ht="16.5" customHeight="1">
      <c r="B20" t="s">
        <v>68</v>
      </c>
      <c r="C20" t="s">
        <v>53</v>
      </c>
      <c r="D20" t="s">
        <v>50</v>
      </c>
      <c r="E20" t="s">
        <v>38</v>
      </c>
      <c r="F20" t="s">
        <v>34</v>
      </c>
      <c r="G20">
        <v>1</v>
      </c>
      <c r="H20">
        <v>11500</v>
      </c>
      <c r="I20">
        <v>11500</v>
      </c>
    </row>
    <row r="21" spans="2:9" ht="16.5" customHeight="1">
      <c r="B21" t="s">
        <v>69</v>
      </c>
      <c r="C21" t="s">
        <v>70</v>
      </c>
      <c r="D21" t="s">
        <v>46</v>
      </c>
      <c r="E21" t="s">
        <v>33</v>
      </c>
      <c r="F21" t="s">
        <v>39</v>
      </c>
      <c r="G21">
        <v>1</v>
      </c>
      <c r="H21">
        <v>24500</v>
      </c>
      <c r="I21">
        <v>24500</v>
      </c>
    </row>
    <row r="22" spans="2:9" ht="16.5" customHeight="1">
      <c r="B22" t="s">
        <v>71</v>
      </c>
      <c r="C22" t="s">
        <v>41</v>
      </c>
      <c r="D22" t="s">
        <v>37</v>
      </c>
      <c r="E22" t="s">
        <v>51</v>
      </c>
      <c r="F22" t="s">
        <v>55</v>
      </c>
      <c r="G22">
        <v>1</v>
      </c>
      <c r="H22">
        <v>14500</v>
      </c>
      <c r="I22">
        <v>14500</v>
      </c>
    </row>
    <row r="23" spans="2:9" ht="16.5" customHeight="1">
      <c r="B23" t="s">
        <v>72</v>
      </c>
      <c r="C23" t="s">
        <v>49</v>
      </c>
      <c r="D23" t="s">
        <v>50</v>
      </c>
      <c r="E23" t="s">
        <v>33</v>
      </c>
      <c r="F23" t="s">
        <v>39</v>
      </c>
      <c r="G23">
        <v>1</v>
      </c>
      <c r="H23">
        <v>16500</v>
      </c>
      <c r="I23">
        <v>16500</v>
      </c>
    </row>
    <row r="24" spans="2:9" ht="16.5" customHeight="1">
      <c r="B24" t="s">
        <v>67</v>
      </c>
      <c r="C24" t="s">
        <v>53</v>
      </c>
      <c r="D24" t="s">
        <v>50</v>
      </c>
      <c r="E24" t="s">
        <v>33</v>
      </c>
      <c r="F24" t="s">
        <v>43</v>
      </c>
      <c r="G24">
        <v>1</v>
      </c>
      <c r="H24">
        <v>11500</v>
      </c>
      <c r="I24">
        <v>11500</v>
      </c>
    </row>
    <row r="25" spans="2:9" ht="16.5" customHeight="1">
      <c r="B25" t="s">
        <v>73</v>
      </c>
      <c r="C25" t="s">
        <v>62</v>
      </c>
      <c r="D25" t="s">
        <v>32</v>
      </c>
      <c r="E25" t="s">
        <v>42</v>
      </c>
      <c r="F25" t="s">
        <v>43</v>
      </c>
      <c r="G25">
        <v>1</v>
      </c>
      <c r="H25">
        <v>38000</v>
      </c>
      <c r="I25">
        <v>38000</v>
      </c>
    </row>
    <row r="26" spans="2:9" ht="16.5" customHeight="1">
      <c r="B26" t="s">
        <v>74</v>
      </c>
      <c r="C26" t="s">
        <v>45</v>
      </c>
      <c r="D26" t="s">
        <v>46</v>
      </c>
      <c r="E26" t="s">
        <v>33</v>
      </c>
      <c r="F26" t="s">
        <v>47</v>
      </c>
      <c r="G26">
        <v>1</v>
      </c>
      <c r="H26">
        <v>28900</v>
      </c>
      <c r="I26">
        <v>28900</v>
      </c>
    </row>
    <row r="27" spans="2:9" ht="16.5" customHeight="1">
      <c r="B27" t="s">
        <v>75</v>
      </c>
      <c r="C27" t="s">
        <v>53</v>
      </c>
      <c r="D27" t="s">
        <v>50</v>
      </c>
      <c r="E27" t="s">
        <v>38</v>
      </c>
      <c r="F27" t="s">
        <v>47</v>
      </c>
      <c r="G27">
        <v>1</v>
      </c>
      <c r="H27">
        <v>11500</v>
      </c>
      <c r="I27">
        <v>11500</v>
      </c>
    </row>
    <row r="28" spans="2:9" ht="16.5" customHeight="1">
      <c r="B28" t="s">
        <v>76</v>
      </c>
      <c r="C28" t="s">
        <v>31</v>
      </c>
      <c r="D28" t="s">
        <v>32</v>
      </c>
      <c r="E28" t="s">
        <v>51</v>
      </c>
      <c r="F28" t="s">
        <v>47</v>
      </c>
      <c r="G28">
        <v>1</v>
      </c>
      <c r="H28">
        <v>32000</v>
      </c>
      <c r="I28">
        <v>32000</v>
      </c>
    </row>
    <row r="29" spans="2:9" ht="16.5" customHeight="1">
      <c r="B29" t="s">
        <v>77</v>
      </c>
      <c r="C29" t="s">
        <v>62</v>
      </c>
      <c r="D29" t="s">
        <v>32</v>
      </c>
      <c r="E29" t="s">
        <v>33</v>
      </c>
      <c r="F29" t="s">
        <v>55</v>
      </c>
      <c r="G29">
        <v>1</v>
      </c>
      <c r="H29">
        <v>38000</v>
      </c>
      <c r="I29">
        <v>38000</v>
      </c>
    </row>
    <row r="30" spans="2:9" ht="16.5" customHeight="1">
      <c r="B30" t="s">
        <v>78</v>
      </c>
      <c r="C30" t="s">
        <v>62</v>
      </c>
      <c r="D30" t="s">
        <v>32</v>
      </c>
      <c r="E30" t="s">
        <v>38</v>
      </c>
      <c r="F30" t="s">
        <v>39</v>
      </c>
      <c r="G30">
        <v>1</v>
      </c>
      <c r="H30">
        <v>38000</v>
      </c>
      <c r="I30">
        <v>38000</v>
      </c>
    </row>
    <row r="31" spans="2:9" ht="16.5" customHeight="1">
      <c r="B31" t="s">
        <v>79</v>
      </c>
      <c r="C31" t="s">
        <v>80</v>
      </c>
      <c r="D31" t="s">
        <v>81</v>
      </c>
      <c r="E31" t="s">
        <v>54</v>
      </c>
      <c r="F31" t="s">
        <v>39</v>
      </c>
      <c r="G31">
        <v>1</v>
      </c>
      <c r="H31">
        <v>55000</v>
      </c>
      <c r="I31">
        <v>55000</v>
      </c>
    </row>
    <row r="32" spans="2:9" ht="16.5" customHeight="1">
      <c r="B32" t="s">
        <v>82</v>
      </c>
      <c r="C32" t="s">
        <v>57</v>
      </c>
      <c r="D32" t="s">
        <v>46</v>
      </c>
      <c r="E32" t="s">
        <v>33</v>
      </c>
      <c r="F32" t="s">
        <v>39</v>
      </c>
      <c r="G32">
        <v>1</v>
      </c>
      <c r="H32">
        <v>34500</v>
      </c>
      <c r="I32">
        <v>34500</v>
      </c>
    </row>
    <row r="33" spans="2:9" ht="16.5" customHeight="1">
      <c r="B33" t="s">
        <v>83</v>
      </c>
      <c r="C33" t="s">
        <v>84</v>
      </c>
      <c r="D33" t="s">
        <v>50</v>
      </c>
      <c r="E33" t="s">
        <v>51</v>
      </c>
      <c r="F33" t="s">
        <v>43</v>
      </c>
      <c r="G33">
        <v>1</v>
      </c>
      <c r="H33">
        <v>12000</v>
      </c>
      <c r="I33">
        <v>12000</v>
      </c>
    </row>
    <row r="34" spans="2:9" ht="16.5" customHeight="1">
      <c r="B34" t="s">
        <v>85</v>
      </c>
      <c r="C34" t="s">
        <v>84</v>
      </c>
      <c r="D34" t="s">
        <v>50</v>
      </c>
      <c r="E34" t="s">
        <v>38</v>
      </c>
      <c r="F34" t="s">
        <v>55</v>
      </c>
      <c r="G34">
        <v>1</v>
      </c>
      <c r="H34">
        <v>12000</v>
      </c>
      <c r="I34">
        <v>12000</v>
      </c>
    </row>
    <row r="35" spans="2:9" ht="16.5" customHeight="1">
      <c r="B35" t="s">
        <v>68</v>
      </c>
      <c r="C35" t="s">
        <v>45</v>
      </c>
      <c r="D35" t="s">
        <v>46</v>
      </c>
      <c r="E35" t="s">
        <v>38</v>
      </c>
      <c r="F35" t="s">
        <v>43</v>
      </c>
      <c r="G35">
        <v>1</v>
      </c>
      <c r="H35">
        <v>28900</v>
      </c>
      <c r="I35">
        <v>28900</v>
      </c>
    </row>
    <row r="36" spans="2:9" ht="16.5" customHeight="1">
      <c r="B36" t="s">
        <v>64</v>
      </c>
      <c r="C36" t="s">
        <v>41</v>
      </c>
      <c r="D36" t="s">
        <v>37</v>
      </c>
      <c r="E36" t="s">
        <v>51</v>
      </c>
      <c r="F36" t="s">
        <v>43</v>
      </c>
      <c r="G36">
        <v>1</v>
      </c>
      <c r="H36">
        <v>14500</v>
      </c>
      <c r="I36">
        <v>14500</v>
      </c>
    </row>
    <row r="37" spans="2:9" ht="16.5" customHeight="1">
      <c r="B37" t="s">
        <v>86</v>
      </c>
      <c r="C37" t="s">
        <v>62</v>
      </c>
      <c r="D37" t="s">
        <v>32</v>
      </c>
      <c r="E37" t="s">
        <v>33</v>
      </c>
      <c r="F37" t="s">
        <v>34</v>
      </c>
      <c r="G37">
        <v>1</v>
      </c>
      <c r="H37">
        <v>38000</v>
      </c>
      <c r="I37">
        <v>38000</v>
      </c>
    </row>
    <row r="38" spans="2:9" ht="16.5" customHeight="1">
      <c r="B38" t="s">
        <v>87</v>
      </c>
      <c r="C38" t="s">
        <v>36</v>
      </c>
      <c r="D38" t="s">
        <v>37</v>
      </c>
      <c r="E38" t="s">
        <v>38</v>
      </c>
      <c r="F38" t="s">
        <v>34</v>
      </c>
      <c r="G38">
        <v>1</v>
      </c>
      <c r="H38">
        <v>19800</v>
      </c>
      <c r="I38">
        <v>19800</v>
      </c>
    </row>
    <row r="39" spans="2:9" ht="16.5" customHeight="1">
      <c r="B39" t="s">
        <v>67</v>
      </c>
      <c r="C39" t="s">
        <v>80</v>
      </c>
      <c r="D39" t="s">
        <v>81</v>
      </c>
      <c r="E39" t="s">
        <v>51</v>
      </c>
      <c r="F39" t="s">
        <v>47</v>
      </c>
      <c r="G39">
        <v>1</v>
      </c>
      <c r="H39">
        <v>55000</v>
      </c>
      <c r="I39">
        <v>55000</v>
      </c>
    </row>
    <row r="40" spans="2:9" ht="16.5" customHeight="1">
      <c r="B40" t="s">
        <v>88</v>
      </c>
      <c r="C40" t="s">
        <v>57</v>
      </c>
      <c r="D40" t="s">
        <v>46</v>
      </c>
      <c r="E40" t="s">
        <v>54</v>
      </c>
      <c r="F40" t="s">
        <v>43</v>
      </c>
      <c r="G40">
        <v>1</v>
      </c>
      <c r="H40">
        <v>34500</v>
      </c>
      <c r="I40">
        <v>34500</v>
      </c>
    </row>
    <row r="41" spans="2:9" ht="16.5" customHeight="1">
      <c r="B41" t="s">
        <v>89</v>
      </c>
      <c r="C41" t="s">
        <v>62</v>
      </c>
      <c r="D41" t="s">
        <v>32</v>
      </c>
      <c r="E41" t="s">
        <v>38</v>
      </c>
      <c r="F41" t="s">
        <v>34</v>
      </c>
      <c r="G41">
        <v>1</v>
      </c>
      <c r="H41">
        <v>38000</v>
      </c>
      <c r="I41">
        <v>38000</v>
      </c>
    </row>
    <row r="42" spans="2:9" ht="16.5" customHeight="1">
      <c r="B42" t="s">
        <v>90</v>
      </c>
      <c r="C42" t="s">
        <v>70</v>
      </c>
      <c r="D42" t="s">
        <v>46</v>
      </c>
      <c r="E42" t="s">
        <v>38</v>
      </c>
      <c r="F42" t="s">
        <v>55</v>
      </c>
      <c r="G42">
        <v>1</v>
      </c>
      <c r="H42">
        <v>24500</v>
      </c>
      <c r="I42">
        <v>24500</v>
      </c>
    </row>
    <row r="43" spans="2:9" ht="16.5" customHeight="1">
      <c r="B43" t="s">
        <v>67</v>
      </c>
      <c r="C43" t="s">
        <v>57</v>
      </c>
      <c r="D43" t="s">
        <v>46</v>
      </c>
      <c r="E43" t="s">
        <v>51</v>
      </c>
      <c r="F43" t="s">
        <v>34</v>
      </c>
      <c r="G43">
        <v>1</v>
      </c>
      <c r="H43">
        <v>34500</v>
      </c>
      <c r="I43">
        <v>34500</v>
      </c>
    </row>
    <row r="44" spans="2:9" ht="16.5" customHeight="1">
      <c r="B44" t="s">
        <v>91</v>
      </c>
      <c r="C44" t="s">
        <v>57</v>
      </c>
      <c r="D44" t="s">
        <v>46</v>
      </c>
      <c r="E44" t="s">
        <v>33</v>
      </c>
      <c r="F44" t="s">
        <v>47</v>
      </c>
      <c r="G44">
        <v>1</v>
      </c>
      <c r="H44">
        <v>34500</v>
      </c>
      <c r="I44">
        <v>34500</v>
      </c>
    </row>
    <row r="45" spans="2:9" ht="16.5" customHeight="1">
      <c r="B45" t="s">
        <v>92</v>
      </c>
      <c r="C45" t="s">
        <v>53</v>
      </c>
      <c r="D45" t="s">
        <v>50</v>
      </c>
      <c r="E45" t="s">
        <v>42</v>
      </c>
      <c r="F45" t="s">
        <v>55</v>
      </c>
      <c r="G45">
        <v>1</v>
      </c>
      <c r="H45">
        <v>11500</v>
      </c>
      <c r="I45">
        <v>11500</v>
      </c>
    </row>
    <row r="46" spans="2:9" ht="16.5" customHeight="1">
      <c r="B46" t="s">
        <v>93</v>
      </c>
      <c r="C46" t="s">
        <v>80</v>
      </c>
      <c r="D46" t="s">
        <v>81</v>
      </c>
      <c r="E46" t="s">
        <v>38</v>
      </c>
      <c r="F46" t="s">
        <v>39</v>
      </c>
      <c r="G46">
        <v>1</v>
      </c>
      <c r="H46">
        <v>55000</v>
      </c>
      <c r="I46">
        <v>55000</v>
      </c>
    </row>
    <row r="47" spans="2:9" ht="16.5" customHeight="1">
      <c r="B47" t="s">
        <v>94</v>
      </c>
      <c r="C47" t="s">
        <v>41</v>
      </c>
      <c r="D47" t="s">
        <v>37</v>
      </c>
      <c r="E47" t="s">
        <v>42</v>
      </c>
      <c r="F47" t="s">
        <v>43</v>
      </c>
      <c r="G47">
        <v>1</v>
      </c>
      <c r="H47">
        <v>14500</v>
      </c>
      <c r="I47">
        <v>14500</v>
      </c>
    </row>
    <row r="48" spans="2:9" ht="16.5" customHeight="1">
      <c r="B48" t="s">
        <v>95</v>
      </c>
      <c r="C48" t="s">
        <v>41</v>
      </c>
      <c r="D48" t="s">
        <v>37</v>
      </c>
      <c r="E48" t="s">
        <v>51</v>
      </c>
      <c r="F48" t="s">
        <v>43</v>
      </c>
      <c r="G48">
        <v>1</v>
      </c>
      <c r="H48">
        <v>14500</v>
      </c>
      <c r="I48">
        <v>14500</v>
      </c>
    </row>
    <row r="49" spans="2:9" ht="16.5" customHeight="1">
      <c r="B49" t="s">
        <v>96</v>
      </c>
      <c r="C49" t="s">
        <v>41</v>
      </c>
      <c r="D49" t="s">
        <v>37</v>
      </c>
      <c r="E49" t="s">
        <v>54</v>
      </c>
      <c r="F49" t="s">
        <v>34</v>
      </c>
      <c r="G49">
        <v>1</v>
      </c>
      <c r="H49">
        <v>14500</v>
      </c>
      <c r="I49">
        <v>14500</v>
      </c>
    </row>
    <row r="50" spans="2:9" ht="16.5" customHeight="1">
      <c r="B50" t="s">
        <v>97</v>
      </c>
      <c r="C50" t="s">
        <v>36</v>
      </c>
      <c r="D50" t="s">
        <v>37</v>
      </c>
      <c r="E50" t="s">
        <v>51</v>
      </c>
      <c r="F50" t="s">
        <v>34</v>
      </c>
      <c r="G50">
        <v>1</v>
      </c>
      <c r="H50">
        <v>19800</v>
      </c>
      <c r="I50">
        <v>19800</v>
      </c>
    </row>
    <row r="51" spans="2:9" ht="16.5" customHeight="1">
      <c r="B51" t="s">
        <v>69</v>
      </c>
      <c r="C51" t="s">
        <v>62</v>
      </c>
      <c r="D51" t="s">
        <v>32</v>
      </c>
      <c r="E51" t="s">
        <v>38</v>
      </c>
      <c r="F51" t="s">
        <v>34</v>
      </c>
      <c r="G51">
        <v>1</v>
      </c>
      <c r="H51">
        <v>38000</v>
      </c>
      <c r="I51">
        <v>38000</v>
      </c>
    </row>
    <row r="52" spans="2:9" ht="16.5" customHeight="1">
      <c r="B52" t="s">
        <v>35</v>
      </c>
      <c r="C52" t="s">
        <v>70</v>
      </c>
      <c r="D52" t="s">
        <v>46</v>
      </c>
      <c r="E52" t="s">
        <v>42</v>
      </c>
      <c r="F52" t="s">
        <v>47</v>
      </c>
      <c r="G52">
        <v>1</v>
      </c>
      <c r="H52">
        <v>24500</v>
      </c>
      <c r="I52">
        <v>24500</v>
      </c>
    </row>
    <row r="53" spans="2:9" ht="16.5" customHeight="1">
      <c r="B53" t="s">
        <v>98</v>
      </c>
      <c r="C53" t="s">
        <v>49</v>
      </c>
      <c r="D53" t="s">
        <v>50</v>
      </c>
      <c r="E53" t="s">
        <v>38</v>
      </c>
      <c r="F53" t="s">
        <v>47</v>
      </c>
      <c r="G53">
        <v>1</v>
      </c>
      <c r="H53">
        <v>16500</v>
      </c>
      <c r="I53">
        <v>16500</v>
      </c>
    </row>
    <row r="54" spans="2:9" ht="16.5" customHeight="1">
      <c r="B54" t="s">
        <v>94</v>
      </c>
      <c r="C54" t="s">
        <v>45</v>
      </c>
      <c r="D54" t="s">
        <v>46</v>
      </c>
      <c r="E54" t="s">
        <v>38</v>
      </c>
      <c r="F54" t="s">
        <v>55</v>
      </c>
      <c r="G54">
        <v>1</v>
      </c>
      <c r="H54">
        <v>28900</v>
      </c>
      <c r="I54">
        <v>28900</v>
      </c>
    </row>
    <row r="55" spans="2:9" ht="16.5" customHeight="1">
      <c r="B55" t="s">
        <v>99</v>
      </c>
      <c r="C55" t="s">
        <v>84</v>
      </c>
      <c r="D55" t="s">
        <v>50</v>
      </c>
      <c r="E55" t="s">
        <v>51</v>
      </c>
      <c r="F55" t="s">
        <v>39</v>
      </c>
      <c r="G55">
        <v>1</v>
      </c>
      <c r="H55">
        <v>12000</v>
      </c>
      <c r="I55">
        <v>12000</v>
      </c>
    </row>
    <row r="56" spans="2:9" ht="16.5" customHeight="1">
      <c r="B56" t="s">
        <v>100</v>
      </c>
      <c r="C56" t="s">
        <v>80</v>
      </c>
      <c r="D56" t="s">
        <v>81</v>
      </c>
      <c r="E56" t="s">
        <v>51</v>
      </c>
      <c r="F56" t="s">
        <v>55</v>
      </c>
      <c r="G56">
        <v>1</v>
      </c>
      <c r="H56">
        <v>55000</v>
      </c>
      <c r="I56">
        <v>55000</v>
      </c>
    </row>
    <row r="57" spans="2:9" ht="16.5" customHeight="1">
      <c r="B57" t="s">
        <v>86</v>
      </c>
      <c r="C57" t="s">
        <v>70</v>
      </c>
      <c r="D57" t="s">
        <v>46</v>
      </c>
      <c r="E57" t="s">
        <v>33</v>
      </c>
      <c r="F57" t="s">
        <v>34</v>
      </c>
      <c r="G57">
        <v>1</v>
      </c>
      <c r="H57">
        <v>24500</v>
      </c>
      <c r="I57">
        <v>24500</v>
      </c>
    </row>
    <row r="58" spans="2:9" ht="16.5" customHeight="1">
      <c r="B58" t="s">
        <v>95</v>
      </c>
      <c r="C58" t="s">
        <v>84</v>
      </c>
      <c r="D58" t="s">
        <v>50</v>
      </c>
      <c r="E58" t="s">
        <v>42</v>
      </c>
      <c r="F58" t="s">
        <v>34</v>
      </c>
      <c r="G58">
        <v>1</v>
      </c>
      <c r="H58">
        <v>12000</v>
      </c>
      <c r="I58">
        <v>12000</v>
      </c>
    </row>
    <row r="59" spans="2:9" ht="16.5" customHeight="1">
      <c r="B59" t="s">
        <v>101</v>
      </c>
      <c r="C59" t="s">
        <v>53</v>
      </c>
      <c r="D59" t="s">
        <v>50</v>
      </c>
      <c r="E59" t="s">
        <v>51</v>
      </c>
      <c r="F59" t="s">
        <v>43</v>
      </c>
      <c r="G59">
        <v>1</v>
      </c>
      <c r="H59">
        <v>11500</v>
      </c>
      <c r="I59">
        <v>11500</v>
      </c>
    </row>
    <row r="60" spans="2:9" ht="16.5" customHeight="1">
      <c r="B60" t="s">
        <v>89</v>
      </c>
      <c r="C60" t="s">
        <v>41</v>
      </c>
      <c r="D60" t="s">
        <v>37</v>
      </c>
      <c r="E60" t="s">
        <v>33</v>
      </c>
      <c r="F60" t="s">
        <v>55</v>
      </c>
      <c r="G60">
        <v>1</v>
      </c>
      <c r="H60">
        <v>14500</v>
      </c>
      <c r="I60">
        <v>14500</v>
      </c>
    </row>
    <row r="61" spans="2:9" ht="16.5" customHeight="1">
      <c r="B61" t="s">
        <v>69</v>
      </c>
      <c r="C61" t="s">
        <v>49</v>
      </c>
      <c r="D61" t="s">
        <v>50</v>
      </c>
      <c r="E61" t="s">
        <v>38</v>
      </c>
      <c r="F61" t="s">
        <v>55</v>
      </c>
      <c r="G61">
        <v>1</v>
      </c>
      <c r="H61">
        <v>16500</v>
      </c>
      <c r="I61">
        <v>16500</v>
      </c>
    </row>
    <row r="62" spans="2:9" ht="16.5" customHeight="1">
      <c r="B62" s="8"/>
      <c r="C62" s="8"/>
      <c r="D62" s="8"/>
      <c r="E62" s="10"/>
      <c r="F62" s="8"/>
      <c r="G62" s="11"/>
      <c r="H62" s="8"/>
      <c r="I62" s="8"/>
    </row>
    <row r="63" spans="2:9" ht="16.5" customHeight="1">
      <c r="B63" s="8"/>
      <c r="C63" s="8"/>
      <c r="D63" s="8"/>
      <c r="E63" s="10"/>
      <c r="F63" s="8"/>
      <c r="G63" s="11"/>
      <c r="H63" s="8"/>
      <c r="I63" s="8"/>
    </row>
    <row r="64" spans="2:9" ht="16.5" customHeight="1">
      <c r="B64" s="8"/>
      <c r="C64" s="8"/>
      <c r="D64" s="8"/>
      <c r="E64" s="10"/>
      <c r="F64" s="8"/>
      <c r="G64" s="11"/>
      <c r="H64" s="8"/>
      <c r="I64" s="8"/>
    </row>
    <row r="65" spans="2:9" ht="16.5" customHeight="1">
      <c r="B65" s="8"/>
      <c r="C65" s="8"/>
      <c r="D65" s="8"/>
      <c r="E65" s="10"/>
      <c r="F65" s="8"/>
      <c r="G65" s="11"/>
      <c r="H65" s="8"/>
      <c r="I65" s="8"/>
    </row>
    <row r="66" spans="2:9" ht="16.5" customHeight="1">
      <c r="B66" s="8"/>
      <c r="C66" s="8"/>
      <c r="D66" s="8"/>
      <c r="E66" s="10"/>
      <c r="F66" s="8"/>
      <c r="G66" s="11"/>
      <c r="H66" s="8"/>
      <c r="I66" s="8"/>
    </row>
    <row r="67" spans="2:9" ht="16.5" customHeight="1">
      <c r="B67" s="8"/>
      <c r="C67" s="8"/>
      <c r="D67" s="8"/>
      <c r="E67" s="10"/>
      <c r="F67" s="8"/>
      <c r="G67" s="11"/>
      <c r="H67" s="8"/>
      <c r="I67" s="8"/>
    </row>
    <row r="68" spans="2:9" ht="16.5" customHeight="1">
      <c r="B68" s="8"/>
      <c r="C68" s="8"/>
      <c r="D68" s="8"/>
      <c r="E68" s="10"/>
      <c r="F68" s="8"/>
      <c r="G68" s="11"/>
      <c r="H68" s="8"/>
      <c r="I68" s="8"/>
    </row>
    <row r="69" spans="2:9" ht="16.5" customHeight="1">
      <c r="B69" s="8"/>
      <c r="C69" s="8"/>
      <c r="D69" s="8"/>
      <c r="E69" s="10"/>
      <c r="F69" s="8"/>
      <c r="G69" s="11"/>
      <c r="H69" s="8"/>
      <c r="I69" s="8"/>
    </row>
    <row r="70" spans="2:9" ht="16.5" customHeight="1">
      <c r="B70" s="8"/>
      <c r="C70" s="8"/>
      <c r="D70" s="8"/>
      <c r="E70" s="10"/>
      <c r="F70" s="8"/>
      <c r="G70" s="11"/>
      <c r="H70" s="8"/>
      <c r="I70" s="8"/>
    </row>
    <row r="71" spans="2:9" ht="16.5" customHeight="1">
      <c r="B71" s="8"/>
      <c r="C71" s="8"/>
      <c r="D71" s="8"/>
      <c r="E71" s="10"/>
      <c r="F71" s="8"/>
      <c r="G71" s="11"/>
      <c r="H71" s="8"/>
      <c r="I71" s="8"/>
    </row>
    <row r="72" spans="2:9" ht="16.5" customHeight="1">
      <c r="B72" s="8"/>
      <c r="C72" s="8"/>
      <c r="D72" s="8"/>
      <c r="E72" s="10"/>
      <c r="F72" s="8"/>
      <c r="G72" s="11"/>
      <c r="H72" s="8"/>
      <c r="I72" s="8"/>
    </row>
    <row r="73" spans="2:9" ht="16.5" customHeight="1">
      <c r="B73" s="8"/>
      <c r="C73" s="8"/>
      <c r="D73" s="8"/>
      <c r="E73" s="10"/>
      <c r="F73" s="8"/>
      <c r="G73" s="11"/>
      <c r="H73" s="8"/>
      <c r="I73" s="8"/>
    </row>
    <row r="74" spans="2:9" ht="16.5" customHeight="1">
      <c r="B74" s="8"/>
      <c r="C74" s="8"/>
      <c r="D74" s="8"/>
      <c r="E74" s="10"/>
      <c r="F74" s="8"/>
      <c r="G74" s="11"/>
      <c r="H74" s="8"/>
      <c r="I74" s="8"/>
    </row>
    <row r="75" spans="2:9" ht="16.5" customHeight="1">
      <c r="B75" s="8"/>
      <c r="C75" s="8"/>
      <c r="D75" s="8"/>
      <c r="E75" s="10"/>
      <c r="F75" s="8"/>
      <c r="G75" s="11"/>
      <c r="H75" s="8"/>
      <c r="I75" s="8"/>
    </row>
    <row r="76" spans="2:9" ht="16.5" customHeight="1">
      <c r="B76" s="8"/>
      <c r="C76" s="8"/>
      <c r="D76" s="8"/>
      <c r="E76" s="10"/>
      <c r="F76" s="8"/>
      <c r="G76" s="11"/>
      <c r="H76" s="8"/>
      <c r="I76" s="8"/>
    </row>
    <row r="77" spans="2:9" ht="16.5" customHeight="1">
      <c r="B77" s="8"/>
      <c r="C77" s="8"/>
      <c r="D77" s="8"/>
      <c r="E77" s="10"/>
      <c r="F77" s="8"/>
      <c r="G77" s="11"/>
      <c r="H77" s="8"/>
      <c r="I77" s="8"/>
    </row>
    <row r="78" spans="2:9" ht="16.5" customHeight="1">
      <c r="B78" s="8"/>
      <c r="C78" s="8"/>
      <c r="D78" s="8"/>
      <c r="E78" s="10"/>
      <c r="F78" s="8"/>
      <c r="G78" s="11"/>
      <c r="H78" s="8"/>
      <c r="I78" s="8"/>
    </row>
    <row r="79" spans="2:9" ht="16.5" customHeight="1">
      <c r="B79" s="8"/>
      <c r="C79" s="8"/>
      <c r="D79" s="8"/>
      <c r="E79" s="10"/>
      <c r="F79" s="8"/>
      <c r="G79" s="11"/>
      <c r="H79" s="8"/>
      <c r="I79" s="8"/>
    </row>
    <row r="80" spans="2:9" ht="16.5" customHeight="1">
      <c r="B80" s="8"/>
      <c r="C80" s="8"/>
      <c r="D80" s="8"/>
      <c r="E80" s="10"/>
      <c r="F80" s="8"/>
      <c r="G80" s="11"/>
      <c r="H80" s="8"/>
      <c r="I80" s="8"/>
    </row>
    <row r="81" spans="2:9" ht="16.5" customHeight="1">
      <c r="B81" s="8"/>
      <c r="C81" s="8"/>
      <c r="D81" s="8"/>
      <c r="E81" s="10"/>
      <c r="F81" s="8"/>
      <c r="G81" s="11"/>
      <c r="H81" s="8"/>
      <c r="I81" s="8"/>
    </row>
    <row r="82" spans="2:9" ht="16.5" customHeight="1">
      <c r="B82" s="8"/>
      <c r="C82" s="8"/>
      <c r="D82" s="8"/>
      <c r="E82" s="10"/>
      <c r="F82" s="8"/>
      <c r="G82" s="11"/>
      <c r="H82" s="8"/>
      <c r="I82" s="8"/>
    </row>
    <row r="83" spans="2:9" ht="16.5" customHeight="1">
      <c r="B83" s="8"/>
      <c r="C83" s="8"/>
      <c r="D83" s="8"/>
      <c r="E83" s="10"/>
      <c r="F83" s="8"/>
      <c r="G83" s="11"/>
      <c r="H83" s="8"/>
      <c r="I83" s="8"/>
    </row>
    <row r="84" spans="2:9" ht="16.5" customHeight="1">
      <c r="B84" s="8"/>
      <c r="C84" s="8"/>
      <c r="D84" s="8"/>
      <c r="E84" s="10"/>
      <c r="F84" s="8"/>
      <c r="G84" s="11"/>
      <c r="H84" s="8"/>
      <c r="I84" s="8"/>
    </row>
    <row r="85" spans="2:9" ht="16.5" customHeight="1">
      <c r="B85" s="8"/>
      <c r="C85" s="8"/>
      <c r="D85" s="8"/>
      <c r="E85" s="10"/>
      <c r="F85" s="8"/>
      <c r="G85" s="11"/>
      <c r="H85" s="8"/>
      <c r="I85" s="8"/>
    </row>
    <row r="86" spans="2:9" ht="16.5" customHeight="1">
      <c r="B86" s="8"/>
      <c r="C86" s="8"/>
      <c r="D86" s="8"/>
      <c r="E86" s="10"/>
      <c r="F86" s="8"/>
      <c r="G86" s="11"/>
      <c r="H86" s="8"/>
      <c r="I86" s="8"/>
    </row>
    <row r="87" spans="2:9" ht="16.5" customHeight="1">
      <c r="B87" s="8"/>
      <c r="C87" s="8"/>
      <c r="D87" s="8"/>
      <c r="E87" s="10"/>
      <c r="F87" s="8"/>
      <c r="G87" s="11"/>
      <c r="H87" s="8"/>
      <c r="I87" s="8"/>
    </row>
    <row r="88" spans="2:9" ht="16.5" customHeight="1">
      <c r="B88" s="8"/>
      <c r="C88" s="8"/>
      <c r="D88" s="8"/>
      <c r="E88" s="10"/>
      <c r="F88" s="8"/>
      <c r="G88" s="11"/>
      <c r="H88" s="8"/>
      <c r="I88" s="8"/>
    </row>
    <row r="89" spans="2:9" ht="16.5" customHeight="1">
      <c r="B89" s="8"/>
      <c r="C89" s="8"/>
      <c r="D89" s="8"/>
      <c r="E89" s="10"/>
      <c r="F89" s="8"/>
      <c r="G89" s="11"/>
      <c r="H89" s="8"/>
      <c r="I89" s="8"/>
    </row>
    <row r="90" spans="2:9" ht="16.5" customHeight="1">
      <c r="B90" s="8"/>
      <c r="C90" s="8"/>
      <c r="D90" s="8"/>
      <c r="E90" s="10"/>
      <c r="F90" s="8"/>
      <c r="G90" s="11"/>
      <c r="H90" s="8"/>
      <c r="I90" s="8"/>
    </row>
    <row r="91" spans="2:9" ht="16.5" customHeight="1">
      <c r="B91" s="8"/>
      <c r="C91" s="8"/>
      <c r="D91" s="8"/>
      <c r="E91" s="10"/>
      <c r="F91" s="8"/>
      <c r="G91" s="11"/>
      <c r="H91" s="8"/>
      <c r="I91" s="8"/>
    </row>
    <row r="92" spans="2:9" ht="16.5" customHeight="1">
      <c r="B92" s="8"/>
      <c r="C92" s="8"/>
      <c r="D92" s="8"/>
      <c r="E92" s="10"/>
      <c r="F92" s="8"/>
      <c r="G92" s="11"/>
      <c r="H92" s="8"/>
      <c r="I92" s="8"/>
    </row>
    <row r="93" spans="2:9" ht="16.5" customHeight="1">
      <c r="B93" s="8"/>
      <c r="C93" s="8"/>
      <c r="D93" s="8"/>
      <c r="E93" s="10"/>
      <c r="F93" s="8"/>
      <c r="G93" s="11"/>
      <c r="H93" s="8"/>
      <c r="I93" s="8"/>
    </row>
    <row r="94" spans="2:9" ht="16.5" customHeight="1">
      <c r="B94" s="8"/>
      <c r="C94" s="8"/>
      <c r="D94" s="8"/>
      <c r="E94" s="10"/>
      <c r="F94" s="8"/>
      <c r="G94" s="11"/>
      <c r="H94" s="8"/>
      <c r="I94" s="8"/>
    </row>
    <row r="95" spans="2:9" ht="16.5" customHeight="1">
      <c r="B95" s="8"/>
      <c r="C95" s="8"/>
      <c r="D95" s="8"/>
      <c r="E95" s="10"/>
      <c r="F95" s="8"/>
      <c r="G95" s="11"/>
      <c r="H95" s="8"/>
      <c r="I95" s="8"/>
    </row>
    <row r="96" spans="2:9" ht="16.5" customHeight="1">
      <c r="B96" s="8"/>
      <c r="C96" s="8"/>
      <c r="D96" s="8"/>
      <c r="E96" s="10"/>
      <c r="F96" s="8"/>
      <c r="G96" s="11"/>
      <c r="H96" s="8"/>
      <c r="I96" s="8"/>
    </row>
    <row r="97" spans="2:9" ht="16.5" customHeight="1">
      <c r="B97" s="8"/>
      <c r="C97" s="8"/>
      <c r="D97" s="8"/>
      <c r="E97" s="10"/>
      <c r="F97" s="8"/>
      <c r="G97" s="11"/>
      <c r="H97" s="8"/>
      <c r="I97" s="8"/>
    </row>
    <row r="98" spans="2:9" ht="16.5" customHeight="1">
      <c r="B98" s="8"/>
      <c r="C98" s="8"/>
      <c r="D98" s="8"/>
      <c r="E98" s="10"/>
      <c r="F98" s="8"/>
      <c r="G98" s="11"/>
      <c r="H98" s="8"/>
      <c r="I98" s="8"/>
    </row>
    <row r="99" spans="2:9" ht="16.5" customHeight="1">
      <c r="B99" s="8"/>
      <c r="C99" s="8"/>
      <c r="D99" s="8"/>
      <c r="E99" s="10"/>
      <c r="F99" s="8"/>
      <c r="G99" s="11"/>
      <c r="H99" s="8"/>
      <c r="I99" s="8"/>
    </row>
    <row r="100" spans="2:9" ht="16.5" customHeight="1">
      <c r="B100" s="8"/>
      <c r="C100" s="8"/>
      <c r="D100" s="8"/>
      <c r="E100" s="10"/>
      <c r="F100" s="8"/>
      <c r="G100" s="11"/>
      <c r="H100" s="8"/>
      <c r="I100" s="8"/>
    </row>
    <row r="101" spans="2:9" ht="16.5" customHeight="1">
      <c r="B101" s="8"/>
      <c r="C101" s="8"/>
      <c r="D101" s="8"/>
      <c r="E101" s="10"/>
      <c r="F101" s="8"/>
      <c r="G101" s="11"/>
      <c r="H101" s="8"/>
      <c r="I101" s="8"/>
    </row>
    <row r="102" spans="2:9" ht="16.5" customHeight="1">
      <c r="B102" s="8"/>
      <c r="C102" s="8"/>
      <c r="D102" s="8"/>
      <c r="E102" s="10"/>
      <c r="F102" s="8"/>
      <c r="G102" s="11"/>
      <c r="H102" s="8"/>
      <c r="I102" s="8"/>
    </row>
    <row r="103" spans="2:9" ht="16.5" customHeight="1">
      <c r="B103" s="8"/>
      <c r="C103" s="8"/>
      <c r="D103" s="8"/>
      <c r="E103" s="10"/>
      <c r="F103" s="8"/>
      <c r="G103" s="11"/>
      <c r="H103" s="8"/>
      <c r="I103" s="8"/>
    </row>
    <row r="104" spans="2:9" ht="16.5" customHeight="1">
      <c r="B104" s="8"/>
      <c r="C104" s="8"/>
      <c r="D104" s="8"/>
      <c r="E104" s="10"/>
      <c r="F104" s="8"/>
      <c r="G104" s="11"/>
      <c r="H104" s="8"/>
      <c r="I104" s="8"/>
    </row>
    <row r="105" spans="2:9" ht="16.5" customHeight="1">
      <c r="B105" s="8"/>
      <c r="C105" s="8"/>
      <c r="D105" s="8"/>
      <c r="E105" s="10"/>
      <c r="F105" s="8"/>
      <c r="G105" s="11"/>
      <c r="H105" s="8"/>
      <c r="I105" s="8"/>
    </row>
    <row r="106" spans="2:9" ht="16.5" customHeight="1">
      <c r="B106" s="8"/>
      <c r="C106" s="8"/>
      <c r="D106" s="8"/>
      <c r="E106" s="10"/>
      <c r="F106" s="8"/>
      <c r="G106" s="11"/>
      <c r="H106" s="8"/>
      <c r="I106" s="8"/>
    </row>
    <row r="107" spans="2:9" ht="16.5" customHeight="1">
      <c r="B107" s="8"/>
      <c r="C107" s="8"/>
      <c r="D107" s="8"/>
      <c r="E107" s="10"/>
      <c r="F107" s="8"/>
      <c r="G107" s="11"/>
      <c r="H107" s="8"/>
      <c r="I107" s="8"/>
    </row>
    <row r="108" spans="2:9" ht="16.5" customHeight="1">
      <c r="B108" s="8"/>
      <c r="C108" s="8"/>
      <c r="D108" s="8"/>
      <c r="E108" s="10"/>
      <c r="F108" s="8"/>
      <c r="G108" s="11"/>
      <c r="H108" s="8"/>
      <c r="I108" s="8"/>
    </row>
    <row r="109" spans="2:9" ht="16.5" customHeight="1">
      <c r="B109" s="8"/>
      <c r="C109" s="8"/>
      <c r="D109" s="8"/>
      <c r="E109" s="10"/>
      <c r="F109" s="8"/>
      <c r="G109" s="11"/>
      <c r="H109" s="8"/>
      <c r="I109" s="8"/>
    </row>
    <row r="110" spans="2:9" ht="16.5" customHeight="1">
      <c r="B110" s="8"/>
      <c r="C110" s="8"/>
      <c r="D110" s="8"/>
      <c r="E110" s="10"/>
      <c r="F110" s="8"/>
      <c r="G110" s="11"/>
      <c r="H110" s="8"/>
      <c r="I110" s="8"/>
    </row>
    <row r="111" spans="2:9" ht="16.5" customHeight="1">
      <c r="B111" s="8"/>
      <c r="C111" s="8"/>
      <c r="D111" s="8"/>
      <c r="E111" s="10"/>
      <c r="F111" s="8"/>
      <c r="G111" s="11"/>
      <c r="H111" s="8"/>
      <c r="I111" s="8"/>
    </row>
    <row r="112" spans="2:9" ht="16.5" customHeight="1">
      <c r="B112" s="8"/>
      <c r="C112" s="8"/>
      <c r="D112" s="8"/>
      <c r="E112" s="10"/>
      <c r="F112" s="8"/>
      <c r="G112" s="11"/>
      <c r="H112" s="8"/>
      <c r="I112" s="8"/>
    </row>
    <row r="113" spans="2:9" ht="16.5" customHeight="1">
      <c r="B113" s="8"/>
      <c r="C113" s="8"/>
      <c r="D113" s="8"/>
      <c r="E113" s="10"/>
      <c r="F113" s="8"/>
      <c r="G113" s="11"/>
      <c r="H113" s="8"/>
      <c r="I113" s="8"/>
    </row>
    <row r="114" spans="2:9" ht="16.5" customHeight="1">
      <c r="B114" s="8"/>
      <c r="C114" s="8"/>
      <c r="D114" s="8"/>
      <c r="E114" s="10"/>
      <c r="F114" s="8"/>
      <c r="G114" s="11"/>
      <c r="H114" s="8"/>
      <c r="I114" s="8"/>
    </row>
    <row r="115" spans="2:9" ht="16.5" customHeight="1">
      <c r="B115" s="8"/>
      <c r="C115" s="8"/>
      <c r="D115" s="8"/>
      <c r="E115" s="10"/>
      <c r="F115" s="8"/>
      <c r="G115" s="11"/>
      <c r="H115" s="8"/>
      <c r="I115" s="8"/>
    </row>
    <row r="116" spans="2:9" ht="16.5" customHeight="1">
      <c r="B116" s="8"/>
      <c r="C116" s="8"/>
      <c r="D116" s="8"/>
      <c r="E116" s="10"/>
      <c r="F116" s="8"/>
      <c r="G116" s="11"/>
      <c r="H116" s="8"/>
      <c r="I116" s="8"/>
    </row>
    <row r="117" spans="2:9" ht="16.5" customHeight="1">
      <c r="B117" s="8"/>
      <c r="C117" s="8"/>
      <c r="D117" s="8"/>
      <c r="E117" s="10"/>
      <c r="F117" s="8"/>
      <c r="G117" s="11"/>
      <c r="H117" s="8"/>
      <c r="I117" s="8"/>
    </row>
    <row r="118" spans="2:9" ht="16.5" customHeight="1">
      <c r="B118" s="8"/>
      <c r="C118" s="8"/>
      <c r="D118" s="8"/>
      <c r="E118" s="10"/>
      <c r="F118" s="8"/>
      <c r="G118" s="11"/>
      <c r="H118" s="8"/>
      <c r="I118" s="8"/>
    </row>
    <row r="119" spans="2:9" ht="16.5" customHeight="1">
      <c r="B119" s="8"/>
      <c r="C119" s="8"/>
      <c r="D119" s="8"/>
      <c r="E119" s="10"/>
      <c r="F119" s="8"/>
      <c r="G119" s="11"/>
      <c r="H119" s="8"/>
      <c r="I119" s="8"/>
    </row>
    <row r="120" spans="2:9" ht="16.5" customHeight="1">
      <c r="B120" s="8"/>
      <c r="C120" s="8"/>
      <c r="D120" s="8"/>
      <c r="E120" s="10"/>
      <c r="F120" s="8"/>
      <c r="G120" s="11"/>
      <c r="H120" s="8"/>
      <c r="I120" s="8"/>
    </row>
    <row r="121" spans="2:9" ht="16.5" customHeight="1">
      <c r="B121" s="8"/>
      <c r="C121" s="8"/>
      <c r="D121" s="8"/>
      <c r="E121" s="10"/>
      <c r="F121" s="8"/>
      <c r="G121" s="11"/>
      <c r="H121" s="8"/>
      <c r="I121" s="8"/>
    </row>
    <row r="122" spans="2:9" ht="16.5" customHeight="1">
      <c r="B122" s="8"/>
      <c r="C122" s="8"/>
      <c r="D122" s="8"/>
      <c r="E122" s="10"/>
      <c r="F122" s="8"/>
      <c r="G122" s="11"/>
      <c r="H122" s="8"/>
      <c r="I122" s="8"/>
    </row>
    <row r="123" spans="2:9" ht="16.5" customHeight="1">
      <c r="B123" s="8"/>
      <c r="C123" s="8"/>
      <c r="D123" s="8"/>
      <c r="E123" s="10"/>
      <c r="F123" s="8"/>
      <c r="G123" s="11"/>
      <c r="H123" s="8"/>
      <c r="I123" s="8"/>
    </row>
    <row r="124" spans="2:9" ht="16.5" customHeight="1">
      <c r="B124" s="8"/>
      <c r="C124" s="8"/>
      <c r="D124" s="8"/>
      <c r="E124" s="10"/>
      <c r="F124" s="8"/>
      <c r="G124" s="11"/>
      <c r="H124" s="8"/>
      <c r="I124" s="8"/>
    </row>
    <row r="125" spans="2:9" ht="16.5" customHeight="1">
      <c r="B125" s="8"/>
      <c r="C125" s="8"/>
      <c r="D125" s="8"/>
      <c r="E125" s="10"/>
      <c r="F125" s="8"/>
      <c r="G125" s="11"/>
      <c r="H125" s="8"/>
      <c r="I125" s="8"/>
    </row>
    <row r="126" spans="2:9" ht="16.5" customHeight="1">
      <c r="B126" s="8"/>
      <c r="C126" s="8"/>
      <c r="D126" s="8"/>
      <c r="E126" s="10"/>
      <c r="F126" s="8"/>
      <c r="G126" s="11"/>
      <c r="H126" s="8"/>
      <c r="I126" s="8"/>
    </row>
    <row r="127" spans="2:9" ht="16.5" customHeight="1">
      <c r="B127" s="8"/>
      <c r="C127" s="8"/>
      <c r="D127" s="8"/>
      <c r="E127" s="10"/>
      <c r="F127" s="8"/>
      <c r="G127" s="11"/>
      <c r="H127" s="8"/>
      <c r="I127" s="8"/>
    </row>
    <row r="128" spans="2:9" ht="16.5" customHeight="1">
      <c r="B128" s="8"/>
      <c r="C128" s="8"/>
      <c r="D128" s="8"/>
      <c r="E128" s="10"/>
      <c r="F128" s="8"/>
      <c r="G128" s="11"/>
      <c r="H128" s="8"/>
      <c r="I128" s="8"/>
    </row>
    <row r="129" spans="2:9" ht="16.5" customHeight="1">
      <c r="B129" s="8"/>
      <c r="C129" s="8"/>
      <c r="D129" s="8"/>
      <c r="E129" s="10"/>
      <c r="F129" s="8"/>
      <c r="G129" s="11"/>
      <c r="H129" s="8"/>
      <c r="I129" s="8"/>
    </row>
    <row r="130" spans="2:9" ht="16.5" customHeight="1">
      <c r="B130" s="8"/>
      <c r="C130" s="8"/>
      <c r="D130" s="8"/>
      <c r="E130" s="10"/>
      <c r="F130" s="8"/>
      <c r="G130" s="11"/>
      <c r="H130" s="8"/>
      <c r="I130" s="8"/>
    </row>
    <row r="131" spans="2:9" ht="16.5" customHeight="1">
      <c r="B131" s="8"/>
      <c r="C131" s="8"/>
      <c r="D131" s="8"/>
      <c r="E131" s="10"/>
      <c r="F131" s="8"/>
      <c r="G131" s="11"/>
      <c r="H131" s="8"/>
      <c r="I131" s="8"/>
    </row>
    <row r="132" spans="2:9" ht="16.5" customHeight="1">
      <c r="B132" s="8"/>
      <c r="C132" s="8"/>
      <c r="D132" s="8"/>
      <c r="E132" s="10"/>
      <c r="F132" s="8"/>
      <c r="G132" s="11"/>
      <c r="H132" s="8"/>
      <c r="I132" s="8"/>
    </row>
    <row r="133" spans="2:9" ht="16.5" customHeight="1">
      <c r="B133" s="8"/>
      <c r="C133" s="8"/>
      <c r="D133" s="8"/>
      <c r="E133" s="10"/>
      <c r="F133" s="8"/>
      <c r="G133" s="11"/>
      <c r="H133" s="8"/>
      <c r="I133" s="8"/>
    </row>
    <row r="134" spans="2:9" ht="16.5" customHeight="1">
      <c r="B134" s="8"/>
      <c r="C134" s="8"/>
      <c r="D134" s="8"/>
      <c r="E134" s="10"/>
      <c r="F134" s="8"/>
      <c r="G134" s="11"/>
      <c r="H134" s="8"/>
      <c r="I134" s="8"/>
    </row>
    <row r="135" spans="2:9" ht="16.5" customHeight="1">
      <c r="B135" s="8"/>
      <c r="C135" s="8"/>
      <c r="D135" s="8"/>
      <c r="E135" s="10"/>
      <c r="F135" s="8"/>
      <c r="G135" s="11"/>
      <c r="H135" s="8"/>
      <c r="I135" s="8"/>
    </row>
    <row r="136" spans="2:9" ht="16.5" customHeight="1">
      <c r="B136" s="8"/>
      <c r="C136" s="8"/>
      <c r="D136" s="8"/>
      <c r="E136" s="10"/>
      <c r="F136" s="8"/>
      <c r="G136" s="11"/>
      <c r="H136" s="8"/>
      <c r="I136" s="8"/>
    </row>
    <row r="137" spans="2:9" ht="16.5" customHeight="1">
      <c r="B137" s="8"/>
      <c r="C137" s="8"/>
      <c r="D137" s="8"/>
      <c r="E137" s="10"/>
      <c r="F137" s="8"/>
      <c r="G137" s="11"/>
      <c r="H137" s="8"/>
      <c r="I137" s="8"/>
    </row>
    <row r="138" spans="2:9" ht="16.5" customHeight="1">
      <c r="B138" s="8"/>
      <c r="C138" s="8"/>
      <c r="D138" s="8"/>
      <c r="E138" s="10"/>
      <c r="F138" s="8"/>
      <c r="G138" s="11"/>
      <c r="H138" s="8"/>
      <c r="I138" s="8"/>
    </row>
    <row r="139" spans="2:9" ht="16.5" customHeight="1">
      <c r="B139" s="8"/>
      <c r="C139" s="8"/>
      <c r="D139" s="8"/>
      <c r="E139" s="10"/>
      <c r="F139" s="8"/>
      <c r="G139" s="11"/>
      <c r="H139" s="8"/>
      <c r="I139" s="8"/>
    </row>
    <row r="140" spans="2:9" ht="16.5" customHeight="1">
      <c r="B140" s="8"/>
      <c r="C140" s="8"/>
      <c r="D140" s="8"/>
      <c r="E140" s="10"/>
      <c r="F140" s="8"/>
      <c r="G140" s="11"/>
      <c r="H140" s="8"/>
      <c r="I140" s="8"/>
    </row>
    <row r="141" spans="2:9" ht="16.5" customHeight="1">
      <c r="B141" s="8"/>
      <c r="C141" s="8"/>
      <c r="D141" s="8"/>
      <c r="E141" s="10"/>
      <c r="F141" s="8"/>
      <c r="G141" s="11"/>
      <c r="H141" s="8"/>
      <c r="I141" s="8"/>
    </row>
    <row r="142" spans="2:9" ht="16.5" customHeight="1">
      <c r="B142" s="8"/>
      <c r="C142" s="8"/>
      <c r="D142" s="8"/>
      <c r="E142" s="10"/>
      <c r="F142" s="8"/>
      <c r="G142" s="11"/>
      <c r="H142" s="8"/>
      <c r="I142" s="8"/>
    </row>
    <row r="143" spans="2:9" ht="16.5" customHeight="1">
      <c r="B143" s="8"/>
      <c r="C143" s="8"/>
      <c r="D143" s="8"/>
      <c r="E143" s="10"/>
      <c r="F143" s="8"/>
      <c r="G143" s="11"/>
      <c r="H143" s="8"/>
      <c r="I143" s="8"/>
    </row>
    <row r="144" spans="2:9" ht="16.5" customHeight="1">
      <c r="B144" s="8"/>
      <c r="C144" s="8"/>
      <c r="D144" s="8"/>
      <c r="E144" s="10"/>
      <c r="F144" s="8"/>
      <c r="G144" s="11"/>
      <c r="H144" s="8"/>
      <c r="I144" s="8"/>
    </row>
    <row r="145" spans="2:9" ht="16.5" customHeight="1">
      <c r="B145" s="8"/>
      <c r="C145" s="8"/>
      <c r="D145" s="8"/>
      <c r="E145" s="10"/>
      <c r="F145" s="8"/>
      <c r="G145" s="11"/>
      <c r="H145" s="8"/>
      <c r="I145" s="8"/>
    </row>
    <row r="146" spans="2:9" ht="16.5" customHeight="1">
      <c r="B146" s="8"/>
      <c r="C146" s="8"/>
      <c r="D146" s="8"/>
      <c r="E146" s="10"/>
      <c r="F146" s="8"/>
      <c r="G146" s="11"/>
      <c r="H146" s="8"/>
      <c r="I146" s="8"/>
    </row>
    <row r="147" spans="2:9" ht="16.5" customHeight="1">
      <c r="B147" s="8"/>
      <c r="C147" s="8"/>
      <c r="D147" s="8"/>
      <c r="E147" s="10"/>
      <c r="F147" s="8"/>
      <c r="G147" s="11"/>
      <c r="H147" s="8"/>
      <c r="I147" s="8"/>
    </row>
    <row r="148" spans="2:9" ht="16.5" customHeight="1">
      <c r="B148" s="8"/>
      <c r="C148" s="8"/>
      <c r="D148" s="8"/>
      <c r="E148" s="10"/>
      <c r="F148" s="8"/>
      <c r="G148" s="11"/>
      <c r="H148" s="8"/>
      <c r="I148" s="8"/>
    </row>
    <row r="149" spans="2:9" ht="16.5" customHeight="1">
      <c r="B149" s="8"/>
      <c r="C149" s="8"/>
      <c r="D149" s="8"/>
      <c r="E149" s="10"/>
      <c r="F149" s="8"/>
      <c r="G149" s="11"/>
      <c r="H149" s="8"/>
      <c r="I149" s="8"/>
    </row>
    <row r="150" spans="2:9" ht="16.5" customHeight="1">
      <c r="B150" s="8"/>
      <c r="C150" s="8"/>
      <c r="D150" s="8"/>
      <c r="E150" s="10"/>
      <c r="F150" s="8"/>
      <c r="G150" s="11"/>
      <c r="H150" s="8"/>
      <c r="I150" s="8"/>
    </row>
    <row r="151" spans="2:9" ht="16.5" customHeight="1">
      <c r="B151" s="8"/>
      <c r="C151" s="8"/>
      <c r="D151" s="8"/>
      <c r="E151" s="10"/>
      <c r="F151" s="8"/>
      <c r="G151" s="11"/>
      <c r="H151" s="8"/>
      <c r="I151" s="8"/>
    </row>
    <row r="152" spans="2:9" ht="16.5" customHeight="1">
      <c r="B152" s="8"/>
      <c r="C152" s="8"/>
      <c r="D152" s="8"/>
      <c r="E152" s="10"/>
      <c r="F152" s="8"/>
      <c r="G152" s="11"/>
      <c r="H152" s="8"/>
      <c r="I152" s="8"/>
    </row>
    <row r="153" spans="2:9" ht="16.5" customHeight="1">
      <c r="B153" s="8"/>
      <c r="C153" s="8"/>
      <c r="D153" s="8"/>
      <c r="E153" s="10"/>
      <c r="F153" s="8"/>
      <c r="G153" s="11"/>
      <c r="H153" s="8"/>
      <c r="I153" s="8"/>
    </row>
    <row r="154" spans="2:9" ht="16.5" customHeight="1">
      <c r="B154" s="8"/>
      <c r="C154" s="8"/>
      <c r="D154" s="8"/>
      <c r="E154" s="10"/>
      <c r="F154" s="8"/>
      <c r="G154" s="11"/>
      <c r="H154" s="8"/>
      <c r="I154" s="8"/>
    </row>
    <row r="155" spans="2:9" ht="16.5" customHeight="1">
      <c r="B155" s="8"/>
      <c r="C155" s="8"/>
      <c r="D155" s="8"/>
      <c r="E155" s="10"/>
      <c r="F155" s="8"/>
      <c r="G155" s="11"/>
      <c r="H155" s="8"/>
      <c r="I155" s="8"/>
    </row>
    <row r="156" spans="2:9" ht="16.5" customHeight="1">
      <c r="B156" s="8"/>
      <c r="C156" s="8"/>
      <c r="D156" s="8"/>
      <c r="E156" s="10"/>
      <c r="F156" s="8"/>
      <c r="G156" s="11"/>
      <c r="H156" s="8"/>
      <c r="I156" s="8"/>
    </row>
    <row r="157" spans="2:9" ht="16.5" customHeight="1">
      <c r="B157" s="8"/>
      <c r="C157" s="8"/>
      <c r="D157" s="8"/>
      <c r="E157" s="10"/>
      <c r="F157" s="8"/>
      <c r="G157" s="11"/>
      <c r="H157" s="8"/>
      <c r="I157" s="8"/>
    </row>
    <row r="158" spans="2:9" ht="16.5" customHeight="1">
      <c r="B158" s="8"/>
      <c r="C158" s="8"/>
      <c r="D158" s="8"/>
      <c r="E158" s="10"/>
      <c r="F158" s="8"/>
      <c r="G158" s="11"/>
      <c r="H158" s="8"/>
      <c r="I158" s="8"/>
    </row>
    <row r="159" spans="2:9" ht="16.5" customHeight="1">
      <c r="B159" s="8"/>
      <c r="C159" s="8"/>
      <c r="D159" s="8"/>
      <c r="E159" s="10"/>
      <c r="F159" s="8"/>
      <c r="G159" s="11"/>
      <c r="H159" s="8"/>
      <c r="I159" s="8"/>
    </row>
    <row r="160" spans="2:9" ht="16.5" customHeight="1">
      <c r="B160" s="8"/>
      <c r="C160" s="8"/>
      <c r="D160" s="8"/>
      <c r="E160" s="10"/>
      <c r="F160" s="8"/>
      <c r="G160" s="11"/>
      <c r="H160" s="8"/>
      <c r="I160" s="8"/>
    </row>
    <row r="161" spans="2:9" ht="16.5" customHeight="1">
      <c r="B161" s="8"/>
      <c r="C161" s="8"/>
      <c r="D161" s="8"/>
      <c r="E161" s="10"/>
      <c r="F161" s="8"/>
      <c r="G161" s="11"/>
      <c r="H161" s="8"/>
      <c r="I161" s="8"/>
    </row>
    <row r="162" spans="2:9" ht="16.5" customHeight="1">
      <c r="B162" s="8"/>
      <c r="C162" s="8"/>
      <c r="D162" s="8"/>
      <c r="E162" s="10"/>
      <c r="F162" s="8"/>
      <c r="G162" s="11"/>
      <c r="H162" s="8"/>
      <c r="I162" s="8"/>
    </row>
    <row r="163" spans="2:9" ht="16.5" customHeight="1">
      <c r="B163" s="8"/>
      <c r="C163" s="8"/>
      <c r="D163" s="8"/>
      <c r="E163" s="10"/>
      <c r="F163" s="8"/>
      <c r="G163" s="11"/>
      <c r="H163" s="8"/>
      <c r="I163" s="8"/>
    </row>
    <row r="164" spans="2:9" ht="16.5" customHeight="1">
      <c r="B164" s="8"/>
      <c r="C164" s="8"/>
      <c r="D164" s="8"/>
      <c r="E164" s="10"/>
      <c r="F164" s="8"/>
      <c r="G164" s="11"/>
      <c r="H164" s="8"/>
      <c r="I164" s="8"/>
    </row>
    <row r="165" spans="2:9" ht="16.5" customHeight="1">
      <c r="B165" s="8"/>
      <c r="C165" s="8"/>
      <c r="D165" s="8"/>
      <c r="E165" s="10"/>
      <c r="F165" s="8"/>
      <c r="G165" s="11"/>
      <c r="H165" s="8"/>
      <c r="I165" s="8"/>
    </row>
    <row r="166" spans="2:9" ht="16.5" customHeight="1">
      <c r="B166" s="8"/>
      <c r="C166" s="8"/>
      <c r="D166" s="8"/>
      <c r="E166" s="10"/>
      <c r="F166" s="8"/>
      <c r="G166" s="11"/>
      <c r="H166" s="8"/>
      <c r="I166" s="8"/>
    </row>
    <row r="167" spans="2:9" ht="16.5" customHeight="1">
      <c r="B167" s="8"/>
      <c r="C167" s="8"/>
      <c r="D167" s="8"/>
      <c r="E167" s="10"/>
      <c r="F167" s="8"/>
      <c r="G167" s="11"/>
      <c r="H167" s="8"/>
      <c r="I167" s="8"/>
    </row>
    <row r="168" spans="2:9" ht="16.5" customHeight="1">
      <c r="B168" s="8"/>
      <c r="C168" s="8"/>
      <c r="D168" s="8"/>
      <c r="E168" s="10"/>
      <c r="F168" s="8"/>
      <c r="G168" s="11"/>
      <c r="H168" s="8"/>
      <c r="I168" s="8"/>
    </row>
    <row r="169" spans="2:9" ht="16.5" customHeight="1">
      <c r="B169" s="8"/>
      <c r="C169" s="8"/>
      <c r="D169" s="8"/>
      <c r="E169" s="10"/>
      <c r="F169" s="8"/>
      <c r="G169" s="11"/>
      <c r="H169" s="8"/>
      <c r="I169" s="8"/>
    </row>
    <row r="170" spans="2:9" ht="16.5" customHeight="1">
      <c r="B170" s="8"/>
      <c r="C170" s="8"/>
      <c r="D170" s="8"/>
      <c r="E170" s="10"/>
      <c r="F170" s="8"/>
      <c r="G170" s="11"/>
      <c r="H170" s="8"/>
      <c r="I170" s="8"/>
    </row>
    <row r="171" spans="2:9" ht="16.5" customHeight="1">
      <c r="B171" s="8"/>
      <c r="C171" s="8"/>
      <c r="D171" s="8"/>
      <c r="E171" s="10"/>
      <c r="F171" s="8"/>
      <c r="G171" s="11"/>
      <c r="H171" s="8"/>
      <c r="I171" s="8"/>
    </row>
    <row r="172" spans="2:9" ht="16.5" customHeight="1">
      <c r="B172" s="8"/>
      <c r="C172" s="8"/>
      <c r="D172" s="8"/>
      <c r="E172" s="10"/>
      <c r="F172" s="8"/>
      <c r="G172" s="11"/>
      <c r="H172" s="8"/>
      <c r="I172" s="8"/>
    </row>
    <row r="173" spans="2:9" ht="16.5" customHeight="1">
      <c r="B173" s="8"/>
      <c r="C173" s="8"/>
      <c r="D173" s="8"/>
      <c r="E173" s="10"/>
      <c r="F173" s="8"/>
      <c r="G173" s="11"/>
      <c r="H173" s="8"/>
      <c r="I173" s="8"/>
    </row>
    <row r="174" spans="2:9" ht="16.5" customHeight="1">
      <c r="B174" s="8"/>
      <c r="C174" s="8"/>
      <c r="D174" s="8"/>
      <c r="E174" s="10"/>
      <c r="F174" s="8"/>
      <c r="G174" s="11"/>
      <c r="H174" s="8"/>
      <c r="I174" s="8"/>
    </row>
    <row r="175" spans="2:9" ht="16.5" customHeight="1">
      <c r="B175" s="8"/>
      <c r="C175" s="8"/>
      <c r="D175" s="8"/>
      <c r="E175" s="10"/>
      <c r="F175" s="8"/>
      <c r="G175" s="11"/>
      <c r="H175" s="8"/>
      <c r="I175" s="8"/>
    </row>
    <row r="176" spans="2:9" ht="16.5" customHeight="1">
      <c r="B176" s="8"/>
      <c r="C176" s="8"/>
      <c r="D176" s="8"/>
      <c r="E176" s="10"/>
      <c r="F176" s="8"/>
      <c r="G176" s="11"/>
      <c r="H176" s="8"/>
      <c r="I176" s="8"/>
    </row>
    <row r="177" spans="2:9" ht="16.5" customHeight="1">
      <c r="B177" s="8"/>
      <c r="C177" s="8"/>
      <c r="D177" s="8"/>
      <c r="E177" s="10"/>
      <c r="F177" s="8"/>
      <c r="G177" s="11"/>
      <c r="H177" s="8"/>
      <c r="I177" s="8"/>
    </row>
    <row r="178" spans="2:9" ht="16.5" customHeight="1">
      <c r="B178" s="8"/>
      <c r="C178" s="8"/>
      <c r="D178" s="8"/>
      <c r="E178" s="10"/>
      <c r="F178" s="8"/>
      <c r="G178" s="11"/>
      <c r="H178" s="8"/>
      <c r="I178" s="8"/>
    </row>
    <row r="179" spans="2:9" ht="16.5" customHeight="1">
      <c r="B179" s="8"/>
      <c r="C179" s="8"/>
      <c r="D179" s="8"/>
      <c r="E179" s="10"/>
      <c r="F179" s="8"/>
      <c r="G179" s="11"/>
      <c r="H179" s="8"/>
      <c r="I179" s="8"/>
    </row>
    <row r="180" spans="2:9" ht="16.5" customHeight="1">
      <c r="B180" s="8"/>
      <c r="C180" s="8"/>
      <c r="D180" s="8"/>
      <c r="E180" s="10"/>
      <c r="F180" s="8"/>
      <c r="G180" s="11"/>
      <c r="H180" s="8"/>
      <c r="I180" s="8"/>
    </row>
    <row r="181" spans="2:9" ht="16.5" customHeight="1">
      <c r="B181" s="8"/>
      <c r="C181" s="8"/>
      <c r="D181" s="8"/>
      <c r="E181" s="10"/>
      <c r="F181" s="8"/>
      <c r="G181" s="11"/>
      <c r="H181" s="8"/>
      <c r="I181" s="8"/>
    </row>
    <row r="182" spans="2:9" ht="16.5" customHeight="1">
      <c r="B182" s="8"/>
      <c r="C182" s="8"/>
      <c r="D182" s="8"/>
      <c r="E182" s="10"/>
      <c r="F182" s="8"/>
      <c r="G182" s="11"/>
      <c r="H182" s="8"/>
      <c r="I182" s="8"/>
    </row>
    <row r="183" spans="2:9" ht="16.5" customHeight="1">
      <c r="B183" s="8"/>
      <c r="C183" s="8"/>
      <c r="D183" s="8"/>
      <c r="E183" s="10"/>
      <c r="F183" s="8"/>
      <c r="G183" s="11"/>
      <c r="H183" s="8"/>
      <c r="I183" s="8"/>
    </row>
    <row r="184" spans="2:9" ht="16.5" customHeight="1">
      <c r="B184" s="8"/>
      <c r="C184" s="8"/>
      <c r="D184" s="8"/>
      <c r="E184" s="10"/>
      <c r="F184" s="8"/>
      <c r="G184" s="11"/>
      <c r="H184" s="8"/>
      <c r="I184" s="8"/>
    </row>
    <row r="185" spans="2:9" ht="16.5" customHeight="1">
      <c r="B185" s="8"/>
      <c r="C185" s="8"/>
      <c r="D185" s="8"/>
      <c r="E185" s="10"/>
      <c r="F185" s="8"/>
      <c r="G185" s="11"/>
      <c r="H185" s="8"/>
      <c r="I185" s="8"/>
    </row>
    <row r="186" spans="2:9" ht="16.5" customHeight="1">
      <c r="B186" s="8"/>
      <c r="C186" s="8"/>
      <c r="D186" s="8"/>
      <c r="E186" s="10"/>
      <c r="F186" s="8"/>
      <c r="G186" s="11"/>
      <c r="H186" s="8"/>
      <c r="I186" s="8"/>
    </row>
    <row r="187" spans="2:9" ht="16.5" customHeight="1">
      <c r="B187" s="8"/>
      <c r="C187" s="8"/>
      <c r="D187" s="8"/>
      <c r="E187" s="10"/>
      <c r="F187" s="8"/>
      <c r="G187" s="11"/>
      <c r="H187" s="8"/>
      <c r="I187" s="8"/>
    </row>
    <row r="188" spans="2:9" ht="16.5" customHeight="1">
      <c r="B188" s="8"/>
      <c r="C188" s="8"/>
      <c r="D188" s="8"/>
      <c r="E188" s="10"/>
      <c r="F188" s="8"/>
      <c r="G188" s="11"/>
      <c r="H188" s="8"/>
      <c r="I188" s="8"/>
    </row>
    <row r="189" spans="2:9" ht="16.5" customHeight="1">
      <c r="B189" s="8"/>
      <c r="C189" s="8"/>
      <c r="D189" s="8"/>
      <c r="E189" s="10"/>
      <c r="F189" s="8"/>
      <c r="G189" s="11"/>
      <c r="H189" s="8"/>
      <c r="I189" s="8"/>
    </row>
    <row r="190" spans="2:9" ht="16.5" customHeight="1">
      <c r="B190" s="8"/>
      <c r="C190" s="8"/>
      <c r="D190" s="8"/>
      <c r="E190" s="10"/>
      <c r="F190" s="8"/>
      <c r="G190" s="11"/>
      <c r="H190" s="8"/>
      <c r="I190" s="8"/>
    </row>
    <row r="191" spans="2:9" ht="16.5" customHeight="1">
      <c r="B191" s="8"/>
      <c r="C191" s="8"/>
      <c r="D191" s="8"/>
      <c r="E191" s="10"/>
      <c r="F191" s="8"/>
      <c r="G191" s="11"/>
      <c r="H191" s="8"/>
      <c r="I191" s="8"/>
    </row>
    <row r="192" spans="2:9" ht="16.5" customHeight="1">
      <c r="B192" s="8"/>
      <c r="C192" s="8"/>
      <c r="D192" s="8"/>
      <c r="E192" s="10"/>
      <c r="F192" s="8"/>
      <c r="G192" s="11"/>
      <c r="H192" s="8"/>
      <c r="I192" s="8"/>
    </row>
    <row r="193" spans="2:9" ht="16.5" customHeight="1">
      <c r="B193" s="8"/>
      <c r="C193" s="8"/>
      <c r="D193" s="8"/>
      <c r="E193" s="10"/>
      <c r="F193" s="8"/>
      <c r="G193" s="11"/>
      <c r="H193" s="8"/>
      <c r="I193" s="8"/>
    </row>
    <row r="194" spans="2:9" ht="16.5" customHeight="1">
      <c r="B194" s="8"/>
      <c r="C194" s="8"/>
      <c r="D194" s="8"/>
      <c r="E194" s="10"/>
      <c r="F194" s="8"/>
      <c r="G194" s="11"/>
      <c r="H194" s="8"/>
      <c r="I194" s="8"/>
    </row>
    <row r="195" spans="2:9" ht="16.5" customHeight="1">
      <c r="B195" s="8"/>
      <c r="C195" s="8"/>
      <c r="D195" s="8"/>
      <c r="E195" s="10"/>
      <c r="F195" s="8"/>
      <c r="G195" s="11"/>
      <c r="H195" s="8"/>
      <c r="I195" s="8"/>
    </row>
    <row r="196" spans="2:9" ht="16.5" customHeight="1">
      <c r="B196" s="8"/>
      <c r="C196" s="8"/>
      <c r="D196" s="8"/>
      <c r="E196" s="10"/>
      <c r="F196" s="8"/>
      <c r="G196" s="11"/>
      <c r="H196" s="8"/>
      <c r="I196" s="8"/>
    </row>
    <row r="197" spans="2:9" ht="16.5" customHeight="1">
      <c r="B197" s="8"/>
      <c r="C197" s="8"/>
      <c r="D197" s="8"/>
      <c r="E197" s="10"/>
      <c r="F197" s="8"/>
      <c r="G197" s="11"/>
      <c r="H197" s="8"/>
      <c r="I197" s="8"/>
    </row>
    <row r="198" spans="2:9" ht="16.5" customHeight="1">
      <c r="B198" s="8"/>
      <c r="C198" s="8"/>
      <c r="D198" s="8"/>
      <c r="E198" s="10"/>
      <c r="F198" s="8"/>
      <c r="G198" s="11"/>
      <c r="H198" s="8"/>
      <c r="I198" s="8"/>
    </row>
    <row r="199" spans="2:9" ht="16.5" customHeight="1">
      <c r="B199" s="8"/>
      <c r="C199" s="8"/>
      <c r="D199" s="8"/>
      <c r="E199" s="10"/>
      <c r="F199" s="8"/>
      <c r="G199" s="11"/>
      <c r="H199" s="8"/>
      <c r="I199" s="8"/>
    </row>
    <row r="200" spans="2:9" ht="16.5" customHeight="1">
      <c r="B200" s="8"/>
      <c r="C200" s="8"/>
      <c r="D200" s="8"/>
      <c r="E200" s="10"/>
      <c r="F200" s="8"/>
      <c r="G200" s="11"/>
      <c r="H200" s="8"/>
      <c r="I200" s="8"/>
    </row>
    <row r="201" spans="2:9" ht="16.5" customHeight="1">
      <c r="B201" s="8"/>
      <c r="C201" s="8"/>
      <c r="D201" s="8"/>
      <c r="E201" s="10"/>
      <c r="F201" s="8"/>
      <c r="G201" s="11"/>
      <c r="H201" s="8"/>
      <c r="I201" s="8"/>
    </row>
    <row r="202" spans="2:9" ht="16.5" customHeight="1">
      <c r="B202" s="8"/>
      <c r="C202" s="8"/>
      <c r="D202" s="8"/>
      <c r="E202" s="10"/>
      <c r="F202" s="8"/>
      <c r="G202" s="11"/>
      <c r="H202" s="8"/>
      <c r="I202" s="8"/>
    </row>
    <row r="203" spans="2:9" ht="16.5" customHeight="1">
      <c r="B203" s="8"/>
      <c r="C203" s="8"/>
      <c r="D203" s="8"/>
      <c r="E203" s="10"/>
      <c r="F203" s="8"/>
      <c r="G203" s="11"/>
      <c r="H203" s="8"/>
      <c r="I203" s="8"/>
    </row>
    <row r="204" spans="2:9" ht="16.5" customHeight="1">
      <c r="B204" s="8"/>
      <c r="C204" s="8"/>
      <c r="D204" s="8"/>
      <c r="E204" s="10"/>
      <c r="F204" s="8"/>
      <c r="G204" s="11"/>
      <c r="H204" s="8"/>
      <c r="I204" s="8"/>
    </row>
    <row r="205" spans="2:9" ht="16.5" customHeight="1">
      <c r="B205" s="8"/>
      <c r="C205" s="8"/>
      <c r="D205" s="8"/>
      <c r="E205" s="10"/>
      <c r="F205" s="8"/>
      <c r="G205" s="11"/>
      <c r="H205" s="8"/>
      <c r="I205" s="8"/>
    </row>
    <row r="206" spans="2:9" ht="16.5" customHeight="1">
      <c r="B206" s="8"/>
      <c r="C206" s="8"/>
      <c r="D206" s="8"/>
      <c r="E206" s="10"/>
      <c r="F206" s="8"/>
      <c r="G206" s="11"/>
      <c r="H206" s="8"/>
      <c r="I206" s="8"/>
    </row>
    <row r="207" spans="2:9" ht="16.5" customHeight="1">
      <c r="B207" s="8"/>
      <c r="C207" s="8"/>
      <c r="D207" s="8"/>
      <c r="E207" s="10"/>
      <c r="F207" s="8"/>
      <c r="G207" s="11"/>
      <c r="H207" s="8"/>
      <c r="I207" s="8"/>
    </row>
    <row r="208" spans="2:9" ht="16.5" customHeight="1">
      <c r="B208" s="8"/>
      <c r="C208" s="8"/>
      <c r="D208" s="8"/>
      <c r="E208" s="10"/>
      <c r="F208" s="8"/>
      <c r="G208" s="11"/>
      <c r="H208" s="8"/>
      <c r="I208" s="8"/>
    </row>
    <row r="209" spans="2:9" ht="16.5" customHeight="1">
      <c r="B209" s="8"/>
      <c r="C209" s="8"/>
      <c r="D209" s="8"/>
      <c r="E209" s="10"/>
      <c r="F209" s="8"/>
      <c r="G209" s="11"/>
      <c r="H209" s="8"/>
      <c r="I209" s="8"/>
    </row>
    <row r="210" spans="2:9" ht="16.5" customHeight="1">
      <c r="B210" s="8"/>
      <c r="C210" s="8"/>
      <c r="D210" s="8"/>
      <c r="E210" s="10"/>
      <c r="F210" s="8"/>
      <c r="G210" s="11"/>
      <c r="H210" s="8"/>
      <c r="I210" s="8"/>
    </row>
    <row r="211" spans="2:9" ht="16.5" customHeight="1">
      <c r="B211" s="8"/>
      <c r="C211" s="8"/>
      <c r="D211" s="8"/>
      <c r="E211" s="10"/>
      <c r="F211" s="8"/>
      <c r="G211" s="11"/>
      <c r="H211" s="8"/>
      <c r="I211" s="8"/>
    </row>
    <row r="212" spans="2:9" ht="16.5" customHeight="1">
      <c r="B212" s="8"/>
      <c r="C212" s="8"/>
      <c r="D212" s="8"/>
      <c r="E212" s="10"/>
      <c r="F212" s="8"/>
      <c r="G212" s="11"/>
      <c r="H212" s="8"/>
      <c r="I212" s="8"/>
    </row>
    <row r="213" spans="2:9" ht="16.5" customHeight="1">
      <c r="B213" s="8"/>
      <c r="C213" s="8"/>
      <c r="D213" s="8"/>
      <c r="E213" s="10"/>
      <c r="F213" s="8"/>
      <c r="G213" s="11"/>
      <c r="H213" s="8"/>
      <c r="I213" s="8"/>
    </row>
    <row r="214" spans="2:9" ht="16.5" customHeight="1">
      <c r="B214" s="8"/>
      <c r="C214" s="8"/>
      <c r="D214" s="8"/>
      <c r="E214" s="10"/>
      <c r="F214" s="8"/>
      <c r="G214" s="11"/>
      <c r="H214" s="8"/>
      <c r="I214" s="8"/>
    </row>
    <row r="215" spans="2:9" ht="16.5" customHeight="1">
      <c r="B215" s="8"/>
      <c r="C215" s="8"/>
      <c r="D215" s="8"/>
      <c r="E215" s="10"/>
      <c r="F215" s="8"/>
      <c r="G215" s="11"/>
      <c r="H215" s="8"/>
      <c r="I215" s="8"/>
    </row>
    <row r="216" spans="2:9" ht="16.5" customHeight="1">
      <c r="B216" s="8"/>
      <c r="C216" s="8"/>
      <c r="D216" s="8"/>
      <c r="E216" s="10"/>
      <c r="F216" s="8"/>
      <c r="G216" s="11"/>
      <c r="H216" s="8"/>
      <c r="I216" s="8"/>
    </row>
    <row r="217" spans="2:9" ht="16.5" customHeight="1">
      <c r="B217" s="8"/>
      <c r="C217" s="8"/>
      <c r="D217" s="8"/>
      <c r="E217" s="10"/>
      <c r="F217" s="8"/>
      <c r="G217" s="11"/>
      <c r="H217" s="8"/>
      <c r="I217" s="8"/>
    </row>
    <row r="218" spans="2:9" ht="16.5" customHeight="1">
      <c r="B218" s="8"/>
      <c r="C218" s="8"/>
      <c r="D218" s="8"/>
      <c r="E218" s="10"/>
      <c r="F218" s="8"/>
      <c r="G218" s="11"/>
      <c r="H218" s="8"/>
      <c r="I218" s="8"/>
    </row>
    <row r="219" spans="2:9" ht="16.5" customHeight="1">
      <c r="B219" s="8"/>
      <c r="C219" s="8"/>
      <c r="D219" s="8"/>
      <c r="E219" s="10"/>
      <c r="F219" s="8"/>
      <c r="G219" s="11"/>
      <c r="H219" s="8"/>
      <c r="I219" s="8"/>
    </row>
    <row r="220" spans="2:9" ht="16.5" customHeight="1">
      <c r="B220" s="8"/>
      <c r="C220" s="8"/>
      <c r="D220" s="8"/>
      <c r="E220" s="10"/>
      <c r="F220" s="8"/>
      <c r="G220" s="11"/>
      <c r="H220" s="8"/>
      <c r="I220" s="8"/>
    </row>
    <row r="221" spans="2:9" ht="16.5" customHeight="1">
      <c r="B221" s="8"/>
      <c r="C221" s="8"/>
      <c r="D221" s="8"/>
      <c r="E221" s="10"/>
      <c r="F221" s="8"/>
      <c r="G221" s="11"/>
      <c r="H221" s="8"/>
      <c r="I221" s="8"/>
    </row>
    <row r="222" spans="2:9" ht="16.5" customHeight="1">
      <c r="B222" s="8"/>
      <c r="C222" s="8"/>
      <c r="D222" s="8"/>
      <c r="E222" s="10"/>
      <c r="F222" s="8"/>
      <c r="G222" s="11"/>
      <c r="H222" s="8"/>
      <c r="I222" s="8"/>
    </row>
    <row r="223" spans="2:9" ht="16.5" customHeight="1">
      <c r="B223" s="8"/>
      <c r="C223" s="8"/>
      <c r="D223" s="8"/>
      <c r="E223" s="10"/>
      <c r="F223" s="8"/>
      <c r="G223" s="11"/>
      <c r="H223" s="8"/>
      <c r="I223" s="8"/>
    </row>
    <row r="224" spans="2:9" ht="16.5" customHeight="1">
      <c r="B224" s="8"/>
      <c r="C224" s="8"/>
      <c r="D224" s="8"/>
      <c r="E224" s="10"/>
      <c r="F224" s="8"/>
      <c r="G224" s="11"/>
      <c r="H224" s="8"/>
      <c r="I224" s="8"/>
    </row>
    <row r="225" spans="2:9" ht="16.5" customHeight="1">
      <c r="B225" s="8"/>
      <c r="C225" s="8"/>
      <c r="D225" s="8"/>
      <c r="E225" s="10"/>
      <c r="F225" s="8"/>
      <c r="G225" s="11"/>
      <c r="H225" s="8"/>
      <c r="I225" s="8"/>
    </row>
    <row r="226" spans="2:9" ht="16.5" customHeight="1">
      <c r="B226" s="8"/>
      <c r="C226" s="8"/>
      <c r="D226" s="8"/>
      <c r="E226" s="10"/>
      <c r="F226" s="8"/>
      <c r="G226" s="11"/>
      <c r="H226" s="8"/>
      <c r="I226" s="8"/>
    </row>
    <row r="227" spans="2:9" ht="16.5" customHeight="1">
      <c r="B227" s="8"/>
      <c r="C227" s="8"/>
      <c r="D227" s="8"/>
      <c r="E227" s="10"/>
      <c r="F227" s="8"/>
      <c r="G227" s="11"/>
      <c r="H227" s="8"/>
      <c r="I227" s="8"/>
    </row>
    <row r="228" spans="2:9" ht="16.5" customHeight="1">
      <c r="B228" s="8"/>
      <c r="C228" s="8"/>
      <c r="D228" s="8"/>
      <c r="E228" s="10"/>
      <c r="F228" s="8"/>
      <c r="G228" s="11"/>
      <c r="H228" s="8"/>
      <c r="I228" s="8"/>
    </row>
    <row r="229" spans="2:9" ht="16.5" customHeight="1">
      <c r="B229" s="8"/>
      <c r="C229" s="8"/>
      <c r="D229" s="8"/>
      <c r="E229" s="10"/>
      <c r="F229" s="8"/>
      <c r="G229" s="11"/>
      <c r="H229" s="8"/>
      <c r="I229" s="8"/>
    </row>
    <row r="230" spans="2:9" ht="16.5" customHeight="1">
      <c r="B230" s="8"/>
      <c r="C230" s="8"/>
      <c r="D230" s="8"/>
      <c r="E230" s="10"/>
      <c r="F230" s="8"/>
      <c r="G230" s="11"/>
      <c r="H230" s="8"/>
      <c r="I230" s="8"/>
    </row>
    <row r="231" spans="2:9" ht="16.5" customHeight="1">
      <c r="B231" s="8"/>
      <c r="C231" s="8"/>
      <c r="D231" s="8"/>
      <c r="E231" s="10"/>
      <c r="F231" s="8"/>
      <c r="G231" s="11"/>
      <c r="H231" s="8"/>
      <c r="I231" s="8"/>
    </row>
    <row r="232" spans="2:9" ht="16.5" customHeight="1">
      <c r="B232" s="8"/>
      <c r="C232" s="8"/>
      <c r="D232" s="8"/>
      <c r="E232" s="10"/>
      <c r="F232" s="8"/>
      <c r="G232" s="11"/>
      <c r="H232" s="8"/>
      <c r="I232" s="8"/>
    </row>
    <row r="233" spans="2:9" ht="16.5" customHeight="1">
      <c r="B233" s="8"/>
      <c r="C233" s="8"/>
      <c r="D233" s="8"/>
      <c r="E233" s="10"/>
      <c r="F233" s="8"/>
      <c r="G233" s="11"/>
      <c r="H233" s="8"/>
      <c r="I233" s="8"/>
    </row>
    <row r="234" spans="2:9" ht="16.5" customHeight="1">
      <c r="B234" s="8"/>
      <c r="C234" s="8"/>
      <c r="D234" s="8"/>
      <c r="E234" s="10"/>
      <c r="F234" s="8"/>
      <c r="G234" s="11"/>
      <c r="H234" s="8"/>
      <c r="I234" s="8"/>
    </row>
    <row r="235" spans="2:9" ht="16.5" customHeight="1">
      <c r="B235" s="8"/>
      <c r="C235" s="8"/>
      <c r="D235" s="8"/>
      <c r="E235" s="10"/>
      <c r="F235" s="8"/>
      <c r="G235" s="11"/>
      <c r="H235" s="8"/>
      <c r="I235" s="8"/>
    </row>
    <row r="236" spans="2:9" ht="16.5" customHeight="1">
      <c r="B236" s="8"/>
      <c r="C236" s="8"/>
      <c r="D236" s="8"/>
      <c r="E236" s="10"/>
      <c r="F236" s="8"/>
      <c r="G236" s="11"/>
      <c r="H236" s="8"/>
      <c r="I236" s="8"/>
    </row>
    <row r="237" spans="2:9" ht="16.5" customHeight="1">
      <c r="B237" s="8"/>
      <c r="C237" s="8"/>
      <c r="D237" s="8"/>
      <c r="E237" s="10"/>
      <c r="F237" s="8"/>
      <c r="G237" s="11"/>
      <c r="H237" s="8"/>
      <c r="I237" s="8"/>
    </row>
    <row r="238" spans="2:9" ht="16.5" customHeight="1">
      <c r="B238" s="8"/>
      <c r="C238" s="8"/>
      <c r="D238" s="8"/>
      <c r="E238" s="10"/>
      <c r="F238" s="8"/>
      <c r="G238" s="11"/>
      <c r="H238" s="8"/>
      <c r="I238" s="8"/>
    </row>
    <row r="239" spans="2:9" ht="16.5" customHeight="1">
      <c r="B239" s="8"/>
      <c r="C239" s="8"/>
      <c r="D239" s="8"/>
      <c r="E239" s="10"/>
      <c r="F239" s="8"/>
      <c r="G239" s="11"/>
      <c r="H239" s="8"/>
      <c r="I239" s="8"/>
    </row>
    <row r="240" spans="2:9" ht="16.5" customHeight="1">
      <c r="B240" s="8"/>
      <c r="C240" s="8"/>
      <c r="D240" s="8"/>
      <c r="E240" s="10"/>
      <c r="F240" s="8"/>
      <c r="G240" s="11"/>
      <c r="H240" s="8"/>
      <c r="I240" s="8"/>
    </row>
    <row r="241" spans="2:9" ht="16.5" customHeight="1">
      <c r="B241" s="8"/>
      <c r="C241" s="8"/>
      <c r="D241" s="8"/>
      <c r="E241" s="10"/>
      <c r="F241" s="8"/>
      <c r="G241" s="11"/>
      <c r="H241" s="8"/>
      <c r="I241" s="8"/>
    </row>
    <row r="242" spans="2:9" ht="16.5" customHeight="1">
      <c r="B242" s="8"/>
      <c r="C242" s="8"/>
      <c r="D242" s="8"/>
      <c r="E242" s="10"/>
      <c r="F242" s="8"/>
      <c r="G242" s="11"/>
      <c r="H242" s="8"/>
      <c r="I242" s="8"/>
    </row>
    <row r="243" spans="2:9" ht="16.5" customHeight="1">
      <c r="B243" s="8"/>
      <c r="C243" s="8"/>
      <c r="D243" s="8"/>
      <c r="E243" s="10"/>
      <c r="F243" s="8"/>
      <c r="G243" s="11"/>
      <c r="H243" s="8"/>
      <c r="I243" s="8"/>
    </row>
    <row r="244" spans="2:9" ht="16.5" customHeight="1">
      <c r="B244" s="8"/>
      <c r="C244" s="8"/>
      <c r="D244" s="8"/>
      <c r="E244" s="10"/>
      <c r="F244" s="8"/>
      <c r="G244" s="11"/>
      <c r="H244" s="8"/>
      <c r="I244" s="8"/>
    </row>
    <row r="245" spans="2:9" ht="16.5" customHeight="1">
      <c r="B245" s="8"/>
      <c r="C245" s="8"/>
      <c r="D245" s="8"/>
      <c r="E245" s="10"/>
      <c r="F245" s="8"/>
      <c r="G245" s="11"/>
      <c r="H245" s="8"/>
      <c r="I245" s="8"/>
    </row>
    <row r="246" spans="2:9" ht="16.5" customHeight="1">
      <c r="B246" s="8"/>
      <c r="C246" s="8"/>
      <c r="D246" s="8"/>
      <c r="E246" s="10"/>
      <c r="F246" s="8"/>
      <c r="G246" s="11"/>
      <c r="H246" s="8"/>
      <c r="I246" s="8"/>
    </row>
    <row r="247" spans="2:9" ht="16.5" customHeight="1">
      <c r="B247" s="8"/>
      <c r="C247" s="8"/>
      <c r="D247" s="8"/>
      <c r="E247" s="10"/>
      <c r="F247" s="8"/>
      <c r="G247" s="11"/>
      <c r="H247" s="8"/>
      <c r="I247" s="8"/>
    </row>
    <row r="248" spans="2:9" ht="16.5" customHeight="1">
      <c r="B248" s="8"/>
      <c r="C248" s="8"/>
      <c r="D248" s="8"/>
      <c r="E248" s="10"/>
      <c r="F248" s="8"/>
      <c r="G248" s="11"/>
      <c r="H248" s="8"/>
      <c r="I248" s="8"/>
    </row>
    <row r="249" spans="2:9" ht="16.5" customHeight="1">
      <c r="B249" s="8"/>
      <c r="C249" s="8"/>
      <c r="D249" s="8"/>
      <c r="E249" s="10"/>
      <c r="F249" s="8"/>
      <c r="G249" s="11"/>
      <c r="H249" s="8"/>
      <c r="I249" s="8"/>
    </row>
    <row r="250" spans="2:9" ht="16.5" customHeight="1">
      <c r="B250" s="8"/>
      <c r="C250" s="8"/>
      <c r="D250" s="8"/>
      <c r="E250" s="10"/>
      <c r="F250" s="8"/>
      <c r="G250" s="11"/>
      <c r="H250" s="8"/>
      <c r="I250" s="8"/>
    </row>
    <row r="251" spans="2:9" ht="16.5" customHeight="1">
      <c r="B251" s="8"/>
      <c r="C251" s="8"/>
      <c r="D251" s="8"/>
      <c r="E251" s="10"/>
      <c r="F251" s="8"/>
      <c r="G251" s="11"/>
      <c r="H251" s="8"/>
      <c r="I251" s="8"/>
    </row>
    <row r="252" spans="2:9" ht="16.5" customHeight="1">
      <c r="B252" s="8"/>
      <c r="C252" s="8"/>
      <c r="D252" s="8"/>
      <c r="E252" s="10"/>
      <c r="F252" s="8"/>
      <c r="G252" s="11"/>
      <c r="H252" s="8"/>
      <c r="I252" s="8"/>
    </row>
    <row r="253" spans="2:9" ht="16.5" customHeight="1">
      <c r="B253" s="8"/>
      <c r="C253" s="8"/>
      <c r="D253" s="8"/>
      <c r="E253" s="10"/>
      <c r="F253" s="8"/>
      <c r="G253" s="11"/>
      <c r="H253" s="8"/>
      <c r="I253" s="8"/>
    </row>
    <row r="254" spans="2:9" ht="16.5" customHeight="1">
      <c r="B254" s="8"/>
      <c r="C254" s="8"/>
      <c r="D254" s="8"/>
      <c r="E254" s="10"/>
      <c r="F254" s="8"/>
      <c r="G254" s="11"/>
      <c r="H254" s="8"/>
      <c r="I254" s="8"/>
    </row>
    <row r="255" spans="2:9" ht="16.5" customHeight="1">
      <c r="B255" s="8"/>
      <c r="C255" s="8"/>
      <c r="D255" s="8"/>
      <c r="E255" s="10"/>
      <c r="F255" s="8"/>
      <c r="G255" s="11"/>
      <c r="H255" s="8"/>
      <c r="I255" s="8"/>
    </row>
    <row r="256" spans="2:9" ht="16.5" customHeight="1">
      <c r="B256" s="8"/>
      <c r="C256" s="8"/>
      <c r="D256" s="8"/>
      <c r="E256" s="10"/>
      <c r="F256" s="8"/>
      <c r="G256" s="11"/>
      <c r="H256" s="8"/>
      <c r="I256" s="8"/>
    </row>
    <row r="257" spans="2:9" ht="16.5" customHeight="1">
      <c r="B257" s="8"/>
      <c r="C257" s="8"/>
      <c r="D257" s="8"/>
      <c r="E257" s="10"/>
      <c r="F257" s="8"/>
      <c r="G257" s="11"/>
      <c r="H257" s="8"/>
      <c r="I257" s="8"/>
    </row>
    <row r="258" spans="2:9" ht="16.5" customHeight="1">
      <c r="B258" s="8"/>
      <c r="C258" s="8"/>
      <c r="D258" s="8"/>
      <c r="E258" s="10"/>
      <c r="F258" s="8"/>
      <c r="G258" s="11"/>
      <c r="H258" s="8"/>
      <c r="I258" s="8"/>
    </row>
    <row r="259" spans="2:9" ht="16.5" customHeight="1">
      <c r="B259" s="8"/>
      <c r="C259" s="8"/>
      <c r="D259" s="8"/>
      <c r="E259" s="10"/>
      <c r="F259" s="8"/>
      <c r="G259" s="11"/>
      <c r="H259" s="8"/>
      <c r="I259" s="8"/>
    </row>
    <row r="260" spans="2:9" ht="16.5" customHeight="1">
      <c r="B260" s="8"/>
      <c r="C260" s="8"/>
      <c r="D260" s="8"/>
      <c r="E260" s="10"/>
      <c r="F260" s="8"/>
      <c r="G260" s="11"/>
      <c r="H260" s="8"/>
      <c r="I260" s="8"/>
    </row>
    <row r="261" spans="2:9" ht="16.5" customHeight="1">
      <c r="B261" s="8"/>
      <c r="C261" s="8"/>
      <c r="D261" s="8"/>
      <c r="E261" s="10"/>
      <c r="F261" s="8"/>
      <c r="G261" s="11"/>
      <c r="H261" s="8"/>
      <c r="I261" s="8"/>
    </row>
    <row r="262" spans="2:9" ht="16.5" customHeight="1">
      <c r="B262" s="8"/>
      <c r="C262" s="8"/>
      <c r="D262" s="8"/>
      <c r="E262" s="10"/>
      <c r="F262" s="8"/>
      <c r="G262" s="11"/>
      <c r="H262" s="8"/>
      <c r="I262" s="8"/>
    </row>
    <row r="263" spans="2:9" ht="16.5" customHeight="1">
      <c r="B263" s="8"/>
      <c r="C263" s="8"/>
      <c r="D263" s="8"/>
      <c r="E263" s="10"/>
      <c r="F263" s="8"/>
      <c r="G263" s="11"/>
      <c r="H263" s="8"/>
      <c r="I263" s="8"/>
    </row>
    <row r="264" spans="2:9" ht="16.5" customHeight="1">
      <c r="B264" s="8"/>
      <c r="C264" s="8"/>
      <c r="D264" s="8"/>
      <c r="E264" s="10"/>
      <c r="F264" s="8"/>
      <c r="G264" s="11"/>
      <c r="H264" s="8"/>
      <c r="I264" s="8"/>
    </row>
    <row r="265" spans="2:9" ht="16.5" customHeight="1">
      <c r="B265" s="8"/>
      <c r="C265" s="8"/>
      <c r="D265" s="8"/>
      <c r="E265" s="10"/>
      <c r="F265" s="8"/>
      <c r="G265" s="11"/>
      <c r="H265" s="8"/>
      <c r="I265" s="8"/>
    </row>
    <row r="266" spans="2:9" ht="16.5" customHeight="1">
      <c r="B266" s="8"/>
      <c r="C266" s="8"/>
      <c r="D266" s="8"/>
      <c r="E266" s="10"/>
      <c r="F266" s="8"/>
      <c r="G266" s="11"/>
      <c r="H266" s="8"/>
      <c r="I266" s="8"/>
    </row>
    <row r="267" spans="2:9" ht="16.5" customHeight="1">
      <c r="B267" s="8"/>
      <c r="C267" s="8"/>
      <c r="D267" s="8"/>
      <c r="E267" s="10"/>
      <c r="F267" s="8"/>
      <c r="G267" s="11"/>
      <c r="H267" s="8"/>
      <c r="I267" s="8"/>
    </row>
    <row r="268" spans="2:9" ht="16.5" customHeight="1">
      <c r="B268" s="8"/>
      <c r="C268" s="8"/>
      <c r="D268" s="8"/>
      <c r="E268" s="10"/>
      <c r="F268" s="8"/>
      <c r="G268" s="11"/>
      <c r="H268" s="8"/>
      <c r="I268" s="8"/>
    </row>
    <row r="269" spans="2:9" ht="16.5" customHeight="1">
      <c r="B269" s="8"/>
      <c r="C269" s="8"/>
      <c r="D269" s="8"/>
      <c r="E269" s="10"/>
      <c r="F269" s="8"/>
      <c r="G269" s="11"/>
      <c r="H269" s="8"/>
      <c r="I269" s="8"/>
    </row>
    <row r="270" spans="2:9" ht="16.5" customHeight="1">
      <c r="B270" s="8"/>
      <c r="C270" s="8"/>
      <c r="D270" s="8"/>
      <c r="E270" s="10"/>
      <c r="F270" s="8"/>
      <c r="G270" s="11"/>
      <c r="H270" s="8"/>
      <c r="I270" s="8"/>
    </row>
    <row r="271" spans="2:9" ht="16.5" customHeight="1">
      <c r="B271" s="8"/>
      <c r="C271" s="8"/>
      <c r="D271" s="8"/>
      <c r="E271" s="10"/>
      <c r="F271" s="8"/>
      <c r="G271" s="11"/>
      <c r="H271" s="8"/>
      <c r="I271" s="8"/>
    </row>
    <row r="272" spans="2:9" ht="16.5" customHeight="1">
      <c r="B272" s="8"/>
      <c r="C272" s="8"/>
      <c r="D272" s="8"/>
      <c r="E272" s="10"/>
      <c r="F272" s="8"/>
      <c r="G272" s="11"/>
      <c r="H272" s="8"/>
      <c r="I272" s="8"/>
    </row>
    <row r="273" spans="2:9" ht="16.5" customHeight="1">
      <c r="B273" s="8"/>
      <c r="C273" s="8"/>
      <c r="D273" s="8"/>
      <c r="E273" s="10"/>
      <c r="F273" s="8"/>
      <c r="G273" s="11"/>
      <c r="H273" s="8"/>
      <c r="I273" s="8"/>
    </row>
    <row r="274" spans="2:9" ht="16.5" customHeight="1">
      <c r="B274" s="8"/>
      <c r="C274" s="8"/>
      <c r="D274" s="8"/>
      <c r="E274" s="10"/>
      <c r="F274" s="8"/>
      <c r="G274" s="11"/>
      <c r="H274" s="8"/>
      <c r="I274" s="8"/>
    </row>
    <row r="275" spans="2:9" ht="16.5" customHeight="1">
      <c r="B275" s="8"/>
      <c r="C275" s="8"/>
      <c r="D275" s="8"/>
      <c r="E275" s="10"/>
      <c r="F275" s="8"/>
      <c r="G275" s="11"/>
      <c r="H275" s="8"/>
      <c r="I275" s="8"/>
    </row>
    <row r="276" spans="2:9" ht="16.5" customHeight="1">
      <c r="B276" s="8"/>
      <c r="C276" s="8"/>
      <c r="D276" s="8"/>
      <c r="E276" s="10"/>
      <c r="F276" s="8"/>
      <c r="G276" s="11"/>
      <c r="H276" s="8"/>
      <c r="I276" s="8"/>
    </row>
    <row r="277" spans="2:9" ht="16.5" customHeight="1">
      <c r="B277" s="8"/>
      <c r="C277" s="8"/>
      <c r="D277" s="8"/>
      <c r="E277" s="10"/>
      <c r="F277" s="8"/>
      <c r="G277" s="11"/>
      <c r="H277" s="8"/>
      <c r="I277" s="8"/>
    </row>
    <row r="278" spans="2:9" ht="16.5" customHeight="1">
      <c r="B278" s="8"/>
      <c r="C278" s="8"/>
      <c r="D278" s="8"/>
      <c r="E278" s="10"/>
      <c r="F278" s="8"/>
      <c r="G278" s="11"/>
      <c r="H278" s="8"/>
      <c r="I278" s="8"/>
    </row>
    <row r="279" spans="2:9" ht="16.5" customHeight="1">
      <c r="B279" s="8"/>
      <c r="C279" s="8"/>
      <c r="D279" s="8"/>
      <c r="E279" s="10"/>
      <c r="F279" s="8"/>
      <c r="G279" s="11"/>
      <c r="H279" s="8"/>
      <c r="I279" s="8"/>
    </row>
    <row r="280" spans="2:9" ht="16.5" customHeight="1">
      <c r="B280" s="8"/>
      <c r="C280" s="8"/>
      <c r="D280" s="8"/>
      <c r="E280" s="10"/>
      <c r="F280" s="8"/>
      <c r="G280" s="11"/>
      <c r="H280" s="8"/>
      <c r="I280" s="8"/>
    </row>
    <row r="281" spans="2:9" ht="16.5" customHeight="1">
      <c r="B281" s="8"/>
      <c r="C281" s="8"/>
      <c r="D281" s="8"/>
      <c r="E281" s="10"/>
      <c r="F281" s="8"/>
      <c r="G281" s="11"/>
      <c r="H281" s="8"/>
      <c r="I281" s="8"/>
    </row>
    <row r="282" spans="2:9" ht="16.5" customHeight="1">
      <c r="B282" s="8"/>
      <c r="C282" s="8"/>
      <c r="D282" s="8"/>
      <c r="E282" s="10"/>
      <c r="F282" s="8"/>
      <c r="G282" s="11"/>
      <c r="H282" s="8"/>
      <c r="I282" s="8"/>
    </row>
    <row r="283" spans="2:9" ht="16.5" customHeight="1">
      <c r="B283" s="8"/>
      <c r="C283" s="8"/>
      <c r="D283" s="8"/>
      <c r="E283" s="10"/>
      <c r="F283" s="8"/>
      <c r="G283" s="11"/>
      <c r="H283" s="8"/>
      <c r="I283" s="8"/>
    </row>
    <row r="284" spans="2:9" ht="16.5" customHeight="1">
      <c r="B284" s="8"/>
      <c r="C284" s="8"/>
      <c r="D284" s="8"/>
      <c r="E284" s="10"/>
      <c r="F284" s="8"/>
      <c r="G284" s="11"/>
      <c r="H284" s="8"/>
      <c r="I284" s="8"/>
    </row>
    <row r="285" spans="2:9" ht="16.5" customHeight="1">
      <c r="B285" s="8"/>
      <c r="C285" s="8"/>
      <c r="D285" s="8"/>
      <c r="E285" s="10"/>
      <c r="F285" s="8"/>
      <c r="G285" s="11"/>
      <c r="H285" s="8"/>
      <c r="I285" s="8"/>
    </row>
    <row r="286" spans="2:9" ht="16.5" customHeight="1">
      <c r="B286" s="8"/>
      <c r="C286" s="8"/>
      <c r="D286" s="8"/>
      <c r="E286" s="10"/>
      <c r="F286" s="8"/>
      <c r="G286" s="11"/>
      <c r="H286" s="8"/>
      <c r="I286" s="8"/>
    </row>
    <row r="287" spans="2:9" ht="16.5" customHeight="1">
      <c r="B287" s="8"/>
      <c r="C287" s="8"/>
      <c r="D287" s="8"/>
      <c r="E287" s="10"/>
      <c r="F287" s="8"/>
      <c r="G287" s="11"/>
      <c r="H287" s="8"/>
      <c r="I287" s="8"/>
    </row>
    <row r="288" spans="2:9" ht="16.5" customHeight="1">
      <c r="B288" s="8"/>
      <c r="C288" s="8"/>
      <c r="D288" s="8"/>
      <c r="E288" s="10"/>
      <c r="F288" s="8"/>
      <c r="G288" s="11"/>
      <c r="H288" s="8"/>
      <c r="I288" s="8"/>
    </row>
    <row r="289" spans="2:9" ht="16.5" customHeight="1">
      <c r="B289" s="8"/>
      <c r="C289" s="8"/>
      <c r="D289" s="8"/>
      <c r="E289" s="10"/>
      <c r="F289" s="8"/>
      <c r="G289" s="11"/>
      <c r="H289" s="8"/>
      <c r="I289" s="8"/>
    </row>
    <row r="290" spans="2:9" ht="16.5" customHeight="1">
      <c r="B290" s="8"/>
      <c r="C290" s="8"/>
      <c r="D290" s="8"/>
      <c r="E290" s="10"/>
      <c r="F290" s="8"/>
      <c r="G290" s="11"/>
      <c r="H290" s="8"/>
      <c r="I290" s="8"/>
    </row>
    <row r="291" spans="2:9" ht="16.5" customHeight="1">
      <c r="B291" s="8"/>
      <c r="C291" s="8"/>
      <c r="D291" s="8"/>
      <c r="E291" s="10"/>
      <c r="F291" s="8"/>
      <c r="G291" s="11"/>
      <c r="H291" s="8"/>
      <c r="I291" s="8"/>
    </row>
    <row r="292" spans="2:9" ht="16.5" customHeight="1">
      <c r="B292" s="8"/>
      <c r="C292" s="8"/>
      <c r="D292" s="8"/>
      <c r="E292" s="10"/>
      <c r="F292" s="8"/>
      <c r="G292" s="11"/>
      <c r="H292" s="8"/>
      <c r="I292" s="8"/>
    </row>
    <row r="293" spans="2:9" ht="16.5" customHeight="1">
      <c r="B293" s="8"/>
      <c r="C293" s="8"/>
      <c r="D293" s="8"/>
      <c r="E293" s="10"/>
      <c r="F293" s="8"/>
      <c r="G293" s="11"/>
      <c r="H293" s="8"/>
      <c r="I293" s="8"/>
    </row>
    <row r="294" spans="2:9" ht="16.5" customHeight="1">
      <c r="B294" s="8"/>
      <c r="C294" s="8"/>
      <c r="D294" s="8"/>
      <c r="E294" s="10"/>
      <c r="F294" s="8"/>
      <c r="G294" s="11"/>
      <c r="H294" s="8"/>
      <c r="I294" s="8"/>
    </row>
    <row r="295" spans="2:9" ht="16.5" customHeight="1">
      <c r="B295" s="8"/>
      <c r="C295" s="8"/>
      <c r="D295" s="8"/>
      <c r="E295" s="10"/>
      <c r="F295" s="8"/>
      <c r="G295" s="11"/>
      <c r="H295" s="8"/>
      <c r="I295" s="8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4:F38"/>
  <sheetViews>
    <sheetView showGridLines="0" workbookViewId="0">
      <selection activeCell="D34" sqref="D34"/>
    </sheetView>
  </sheetViews>
  <sheetFormatPr defaultRowHeight="14.25"/>
  <cols>
    <col min="2" max="2" width="18" customWidth="1"/>
    <col min="3" max="3" width="35.125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4" spans="2:5">
      <c r="B4" s="15" t="s">
        <v>18</v>
      </c>
      <c r="C4" s="15"/>
      <c r="D4" s="15"/>
      <c r="E4" s="15"/>
    </row>
    <row r="7" spans="2:5" ht="15">
      <c r="B7" t="s">
        <v>23</v>
      </c>
    </row>
    <row r="8" spans="2:5">
      <c r="B8" t="s">
        <v>22</v>
      </c>
    </row>
    <row r="10" spans="2:5">
      <c r="B10" s="12" t="s">
        <v>11</v>
      </c>
      <c r="C10" t="s">
        <v>17</v>
      </c>
    </row>
    <row r="12" spans="2:5">
      <c r="B12" s="12" t="s">
        <v>19</v>
      </c>
      <c r="C12" t="s">
        <v>21</v>
      </c>
    </row>
    <row r="13" spans="2:5">
      <c r="B13" s="13" t="s">
        <v>15</v>
      </c>
      <c r="C13" s="14">
        <v>806</v>
      </c>
    </row>
    <row r="14" spans="2:5">
      <c r="B14" s="13" t="s">
        <v>13</v>
      </c>
      <c r="C14" s="14">
        <v>1502</v>
      </c>
    </row>
    <row r="15" spans="2:5">
      <c r="B15" s="13" t="s">
        <v>20</v>
      </c>
      <c r="C15" s="14">
        <v>2308</v>
      </c>
    </row>
    <row r="16" spans="2:5">
      <c r="B16" s="13"/>
      <c r="C16" s="14"/>
    </row>
    <row r="18" spans="2:6">
      <c r="B18" s="13" t="s">
        <v>24</v>
      </c>
    </row>
    <row r="20" spans="2:6">
      <c r="B20" s="12" t="s">
        <v>11</v>
      </c>
      <c r="C20" t="s">
        <v>17</v>
      </c>
    </row>
    <row r="22" spans="2:6">
      <c r="B22" s="12" t="s">
        <v>19</v>
      </c>
      <c r="C22" t="s">
        <v>25</v>
      </c>
    </row>
    <row r="23" spans="2:6">
      <c r="B23" s="13" t="s">
        <v>14</v>
      </c>
      <c r="C23" s="14">
        <v>0</v>
      </c>
    </row>
    <row r="24" spans="2:6">
      <c r="B24" s="13" t="s">
        <v>16</v>
      </c>
      <c r="C24" s="14">
        <v>0</v>
      </c>
    </row>
    <row r="25" spans="2:6">
      <c r="B25" s="13" t="s">
        <v>12</v>
      </c>
      <c r="C25" s="14">
        <v>990</v>
      </c>
    </row>
    <row r="26" spans="2:6">
      <c r="B26" s="13" t="s">
        <v>20</v>
      </c>
      <c r="C26" s="14">
        <v>990</v>
      </c>
      <c r="F26" s="17">
        <f>GETPIVOTDATA("EA Play Season Pass
Price",$B$22)</f>
        <v>990</v>
      </c>
    </row>
    <row r="30" spans="2:6">
      <c r="B30" t="s">
        <v>26</v>
      </c>
    </row>
    <row r="32" spans="2:6">
      <c r="B32" s="12" t="s">
        <v>11</v>
      </c>
      <c r="C32" t="s">
        <v>17</v>
      </c>
    </row>
    <row r="34" spans="2:6">
      <c r="B34" s="12" t="s">
        <v>19</v>
      </c>
      <c r="C34" t="s">
        <v>27</v>
      </c>
    </row>
    <row r="35" spans="2:6">
      <c r="B35" s="13" t="s">
        <v>14</v>
      </c>
      <c r="C35" s="14">
        <v>0</v>
      </c>
    </row>
    <row r="36" spans="2:6">
      <c r="B36" s="13" t="s">
        <v>16</v>
      </c>
      <c r="C36" s="14">
        <v>480</v>
      </c>
    </row>
    <row r="37" spans="2:6">
      <c r="B37" s="13" t="s">
        <v>12</v>
      </c>
      <c r="C37" s="14">
        <v>660</v>
      </c>
      <c r="F37" s="17">
        <f>GETPIVOTDATA("Minecraft Season Pass Price",$B$34)</f>
        <v>1140</v>
      </c>
    </row>
    <row r="38" spans="2:6">
      <c r="B38" s="13" t="s">
        <v>20</v>
      </c>
      <c r="C38" s="14">
        <v>1140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37"/>
  <sheetViews>
    <sheetView showGridLines="0" showRowColHeaders="0" zoomScale="70" zoomScaleNormal="70" workbookViewId="0">
      <selection activeCell="H7" sqref="H7"/>
    </sheetView>
  </sheetViews>
  <sheetFormatPr defaultRowHeight="14.25"/>
  <cols>
    <col min="1" max="1" width="25.5" style="4" customWidth="1"/>
    <col min="2" max="2" width="3.625" customWidth="1"/>
    <col min="12" max="12" width="6.625" customWidth="1"/>
  </cols>
  <sheetData>
    <row r="2" spans="1:22" ht="39" customHeight="1" thickBot="1">
      <c r="B2" s="21" t="s">
        <v>28</v>
      </c>
      <c r="C2" s="18"/>
      <c r="D2" s="18"/>
      <c r="E2" s="18"/>
      <c r="F2" s="18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  <c r="S2" s="20"/>
      <c r="T2" s="20"/>
      <c r="U2" s="20"/>
      <c r="V2" s="20"/>
    </row>
    <row r="3" spans="1:22" ht="39" customHeight="1" thickTop="1"/>
    <row r="4" spans="1:22" s="16" customFormat="1" ht="8.25" customHeight="1">
      <c r="A4" s="4"/>
    </row>
    <row r="5" spans="1:22" s="16" customFormat="1" ht="7.5" customHeight="1">
      <c r="A5" s="4"/>
    </row>
    <row r="6" spans="1:22" s="16" customFormat="1" ht="10.5" customHeight="1">
      <c r="A6" s="4"/>
      <c r="D6" s="22"/>
    </row>
    <row r="7" spans="1:22" s="16" customFormat="1" ht="9.75" customHeight="1">
      <c r="A7" s="4"/>
      <c r="D7" s="22"/>
    </row>
    <row r="8" spans="1:22" s="16" customFormat="1" ht="33" customHeight="1">
      <c r="A8" s="4"/>
      <c r="D8" s="23" t="s">
        <v>29</v>
      </c>
    </row>
    <row r="9" spans="1:22" s="16" customFormat="1">
      <c r="A9" s="4"/>
    </row>
    <row r="10" spans="1:22" s="16" customFormat="1">
      <c r="A10" s="4"/>
    </row>
    <row r="11" spans="1:22" s="16" customFormat="1">
      <c r="A11" s="4"/>
    </row>
    <row r="12" spans="1:22" s="16" customFormat="1">
      <c r="A12" s="4"/>
    </row>
    <row r="13" spans="1:22" s="16" customFormat="1">
      <c r="A13" s="4"/>
    </row>
    <row r="14" spans="1:22" s="16" customFormat="1">
      <c r="A14" s="4"/>
    </row>
    <row r="15" spans="1:22" s="16" customFormat="1">
      <c r="A15" s="4"/>
    </row>
    <row r="16" spans="1:22" s="16" customFormat="1">
      <c r="A16" s="4"/>
    </row>
    <row r="17" spans="1:1" s="16" customFormat="1">
      <c r="A17" s="4"/>
    </row>
    <row r="18" spans="1:1" s="16" customFormat="1">
      <c r="A18" s="4"/>
    </row>
    <row r="19" spans="1:1" s="16" customFormat="1">
      <c r="A19" s="4"/>
    </row>
    <row r="20" spans="1:1" s="16" customFormat="1">
      <c r="A20" s="4"/>
    </row>
    <row r="21" spans="1:1" s="16" customFormat="1">
      <c r="A21" s="4"/>
    </row>
    <row r="22" spans="1:1" s="16" customFormat="1">
      <c r="A22" s="4"/>
    </row>
    <row r="23" spans="1:1" s="16" customFormat="1">
      <c r="A23" s="4"/>
    </row>
    <row r="24" spans="1:1" s="16" customFormat="1">
      <c r="A24" s="4"/>
    </row>
    <row r="25" spans="1:1" s="16" customFormat="1">
      <c r="A25" s="4"/>
    </row>
    <row r="26" spans="1:1" s="16" customFormat="1">
      <c r="A26" s="4"/>
    </row>
    <row r="27" spans="1:1" s="16" customFormat="1">
      <c r="A27" s="4"/>
    </row>
    <row r="28" spans="1:1" s="16" customFormat="1">
      <c r="A28" s="4"/>
    </row>
    <row r="29" spans="1:1" s="16" customFormat="1">
      <c r="A29" s="4"/>
    </row>
    <row r="30" spans="1:1" s="16" customFormat="1">
      <c r="A30" s="4"/>
    </row>
    <row r="31" spans="1:1" s="16" customFormat="1">
      <c r="A31" s="4"/>
    </row>
    <row r="32" spans="1:1" s="16" customFormat="1">
      <c r="A32" s="4"/>
    </row>
    <row r="33" spans="1:1" s="16" customFormat="1">
      <c r="A33" s="4"/>
    </row>
    <row r="34" spans="1:1" s="16" customFormat="1">
      <c r="A34" s="4"/>
    </row>
    <row r="35" spans="1:1" s="16" customFormat="1">
      <c r="A35" s="4"/>
    </row>
    <row r="36" spans="1:1" s="16" customFormat="1">
      <c r="A36" s="4"/>
    </row>
    <row r="37" spans="1:1" s="16" customFormat="1">
      <c r="A37" s="4"/>
    </row>
    <row r="38" spans="1:1" s="16" customFormat="1">
      <c r="A38" s="4"/>
    </row>
    <row r="39" spans="1:1" s="16" customFormat="1">
      <c r="A39" s="4"/>
    </row>
    <row r="40" spans="1:1" s="16" customFormat="1">
      <c r="A40" s="4"/>
    </row>
    <row r="41" spans="1:1" s="16" customFormat="1">
      <c r="A41" s="4"/>
    </row>
    <row r="42" spans="1:1" s="16" customFormat="1">
      <c r="A42" s="4"/>
    </row>
    <row r="43" spans="1:1" s="16" customFormat="1">
      <c r="A43" s="4"/>
    </row>
    <row r="44" spans="1:1" s="16" customFormat="1">
      <c r="A44" s="4"/>
    </row>
    <row r="45" spans="1:1" s="16" customFormat="1">
      <c r="A45" s="4"/>
    </row>
    <row r="46" spans="1:1" s="16" customFormat="1">
      <c r="A46" s="4"/>
    </row>
    <row r="47" spans="1:1" s="16" customFormat="1">
      <c r="A47" s="4"/>
    </row>
    <row r="48" spans="1:1" s="16" customFormat="1">
      <c r="A48" s="4"/>
    </row>
    <row r="49" spans="1:1" s="16" customFormat="1">
      <c r="A49" s="4"/>
    </row>
    <row r="50" spans="1:1" s="16" customFormat="1">
      <c r="A50" s="4"/>
    </row>
    <row r="51" spans="1:1" s="16" customFormat="1">
      <c r="A51" s="4"/>
    </row>
    <row r="52" spans="1:1" s="16" customFormat="1">
      <c r="A52" s="4"/>
    </row>
    <row r="53" spans="1:1" s="16" customFormat="1">
      <c r="A53" s="4"/>
    </row>
    <row r="54" spans="1:1" s="16" customFormat="1">
      <c r="A54" s="4"/>
    </row>
    <row r="55" spans="1:1" s="16" customFormat="1">
      <c r="A55" s="4"/>
    </row>
    <row r="56" spans="1:1" s="16" customFormat="1">
      <c r="A56" s="4"/>
    </row>
    <row r="57" spans="1:1" s="16" customFormat="1">
      <c r="A57" s="4"/>
    </row>
    <row r="58" spans="1:1" s="16" customFormat="1">
      <c r="A58" s="4"/>
    </row>
    <row r="59" spans="1:1" s="16" customFormat="1">
      <c r="A59" s="4"/>
    </row>
    <row r="60" spans="1:1" s="16" customFormat="1">
      <c r="A60" s="4"/>
    </row>
    <row r="61" spans="1:1" s="16" customFormat="1">
      <c r="A61" s="4"/>
    </row>
    <row r="62" spans="1:1" s="16" customFormat="1">
      <c r="A62" s="4"/>
    </row>
    <row r="63" spans="1:1" s="16" customFormat="1">
      <c r="A63" s="4"/>
    </row>
    <row r="64" spans="1:1" s="16" customFormat="1">
      <c r="A64" s="4"/>
    </row>
    <row r="65" spans="1:1" s="16" customFormat="1">
      <c r="A65" s="4"/>
    </row>
    <row r="66" spans="1:1" s="16" customFormat="1">
      <c r="A66" s="4"/>
    </row>
    <row r="67" spans="1:1" s="16" customFormat="1">
      <c r="A67" s="4"/>
    </row>
    <row r="68" spans="1:1" s="16" customFormat="1">
      <c r="A68" s="4"/>
    </row>
    <row r="69" spans="1:1" s="16" customFormat="1">
      <c r="A69" s="4"/>
    </row>
    <row r="70" spans="1:1" s="16" customFormat="1">
      <c r="A70" s="4"/>
    </row>
    <row r="71" spans="1:1" s="16" customFormat="1">
      <c r="A71" s="4"/>
    </row>
    <row r="72" spans="1:1" s="16" customFormat="1">
      <c r="A72" s="4"/>
    </row>
    <row r="73" spans="1:1" s="16" customFormat="1">
      <c r="A73" s="4"/>
    </row>
    <row r="74" spans="1:1" s="16" customFormat="1">
      <c r="A74" s="4"/>
    </row>
    <row r="75" spans="1:1" s="16" customFormat="1">
      <c r="A75" s="4"/>
    </row>
    <row r="76" spans="1:1" s="16" customFormat="1">
      <c r="A76" s="4"/>
    </row>
    <row r="77" spans="1:1" s="16" customFormat="1">
      <c r="A77" s="4"/>
    </row>
    <row r="78" spans="1:1" s="16" customFormat="1">
      <c r="A78" s="4"/>
    </row>
    <row r="79" spans="1:1" s="16" customFormat="1">
      <c r="A79" s="4"/>
    </row>
    <row r="80" spans="1:1" s="16" customFormat="1">
      <c r="A80" s="4"/>
    </row>
    <row r="81" spans="1:1" s="16" customFormat="1">
      <c r="A81" s="4"/>
    </row>
    <row r="82" spans="1:1" s="16" customFormat="1">
      <c r="A82" s="4"/>
    </row>
    <row r="83" spans="1:1" s="16" customFormat="1">
      <c r="A83" s="4"/>
    </row>
    <row r="84" spans="1:1" s="16" customFormat="1">
      <c r="A84" s="4"/>
    </row>
    <row r="85" spans="1:1" s="16" customFormat="1">
      <c r="A85" s="4"/>
    </row>
    <row r="86" spans="1:1" s="16" customFormat="1">
      <c r="A86" s="4"/>
    </row>
    <row r="87" spans="1:1" s="16" customFormat="1">
      <c r="A87" s="4"/>
    </row>
    <row r="88" spans="1:1" s="16" customFormat="1">
      <c r="A88" s="4"/>
    </row>
    <row r="89" spans="1:1" s="16" customFormat="1">
      <c r="A89" s="4"/>
    </row>
    <row r="90" spans="1:1" s="16" customFormat="1">
      <c r="A90" s="4"/>
    </row>
    <row r="91" spans="1:1" s="16" customFormat="1">
      <c r="A91" s="4"/>
    </row>
    <row r="92" spans="1:1" s="16" customFormat="1">
      <c r="A92" s="4"/>
    </row>
    <row r="93" spans="1:1" s="16" customFormat="1">
      <c r="A93" s="4"/>
    </row>
    <row r="94" spans="1:1" s="16" customFormat="1">
      <c r="A94" s="4"/>
    </row>
    <row r="95" spans="1:1" s="16" customFormat="1">
      <c r="A95" s="4"/>
    </row>
    <row r="96" spans="1:1" s="16" customFormat="1">
      <c r="A96" s="4"/>
    </row>
    <row r="97" spans="1:1" s="16" customFormat="1">
      <c r="A97" s="4"/>
    </row>
    <row r="98" spans="1:1" s="16" customFormat="1">
      <c r="A98" s="4"/>
    </row>
    <row r="99" spans="1:1" s="16" customFormat="1">
      <c r="A99" s="4"/>
    </row>
    <row r="100" spans="1:1" s="16" customFormat="1">
      <c r="A100" s="4"/>
    </row>
    <row r="101" spans="1:1" s="16" customFormat="1">
      <c r="A101" s="4"/>
    </row>
    <row r="102" spans="1:1" s="16" customFormat="1">
      <c r="A102" s="4"/>
    </row>
    <row r="103" spans="1:1" s="16" customFormat="1">
      <c r="A103" s="4"/>
    </row>
    <row r="104" spans="1:1" s="16" customFormat="1">
      <c r="A104" s="4"/>
    </row>
    <row r="105" spans="1:1" s="16" customFormat="1">
      <c r="A105" s="4"/>
    </row>
    <row r="106" spans="1:1" s="16" customFormat="1">
      <c r="A106" s="4"/>
    </row>
    <row r="107" spans="1:1" s="16" customFormat="1">
      <c r="A107" s="4"/>
    </row>
    <row r="108" spans="1:1" s="16" customFormat="1">
      <c r="A108" s="4"/>
    </row>
    <row r="109" spans="1:1" s="16" customFormat="1">
      <c r="A109" s="4"/>
    </row>
    <row r="110" spans="1:1" s="16" customFormat="1">
      <c r="A110" s="4"/>
    </row>
    <row r="111" spans="1:1" s="16" customFormat="1">
      <c r="A111" s="4"/>
    </row>
    <row r="112" spans="1:1" s="16" customFormat="1">
      <c r="A112" s="4"/>
    </row>
    <row r="113" spans="1:1" s="16" customFormat="1">
      <c r="A113" s="4"/>
    </row>
    <row r="114" spans="1:1" s="16" customFormat="1">
      <c r="A114" s="4"/>
    </row>
    <row r="115" spans="1:1" s="16" customFormat="1">
      <c r="A115" s="4"/>
    </row>
    <row r="116" spans="1:1" s="16" customFormat="1">
      <c r="A116" s="4"/>
    </row>
    <row r="117" spans="1:1" s="16" customFormat="1">
      <c r="A117" s="4"/>
    </row>
    <row r="118" spans="1:1" s="16" customFormat="1">
      <c r="A118" s="4"/>
    </row>
    <row r="119" spans="1:1" s="16" customFormat="1">
      <c r="A119" s="4"/>
    </row>
    <row r="120" spans="1:1" s="16" customFormat="1">
      <c r="A120" s="4"/>
    </row>
    <row r="121" spans="1:1" s="16" customFormat="1">
      <c r="A121" s="4"/>
    </row>
    <row r="122" spans="1:1" s="16" customFormat="1">
      <c r="A122" s="4"/>
    </row>
    <row r="123" spans="1:1" s="16" customFormat="1">
      <c r="A123" s="4"/>
    </row>
    <row r="124" spans="1:1" s="16" customFormat="1">
      <c r="A124" s="4"/>
    </row>
    <row r="125" spans="1:1" s="16" customFormat="1">
      <c r="A125" s="4"/>
    </row>
    <row r="126" spans="1:1" s="16" customFormat="1">
      <c r="A126" s="4"/>
    </row>
    <row r="127" spans="1:1" s="16" customFormat="1">
      <c r="A127" s="4"/>
    </row>
    <row r="128" spans="1:1" s="16" customFormat="1">
      <c r="A128" s="4"/>
    </row>
    <row r="129" spans="1:1" s="16" customFormat="1">
      <c r="A129" s="4"/>
    </row>
    <row r="130" spans="1:1" s="16" customFormat="1">
      <c r="A130" s="4"/>
    </row>
    <row r="131" spans="1:1" s="16" customFormat="1">
      <c r="A131" s="4"/>
    </row>
    <row r="132" spans="1:1" s="16" customFormat="1">
      <c r="A132" s="4"/>
    </row>
    <row r="133" spans="1:1" s="16" customFormat="1">
      <c r="A133" s="4"/>
    </row>
    <row r="134" spans="1:1" s="16" customFormat="1">
      <c r="A134" s="4"/>
    </row>
    <row r="135" spans="1:1" s="16" customFormat="1">
      <c r="A135" s="4"/>
    </row>
    <row r="136" spans="1:1" s="16" customFormat="1">
      <c r="A136" s="4"/>
    </row>
    <row r="137" spans="1:1" s="16" customFormat="1">
      <c r="A137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851b35d3-0456-4d6a-bc2f-da927e91d158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User</cp:lastModifiedBy>
  <dcterms:created xsi:type="dcterms:W3CDTF">2024-12-19T13:13:10Z</dcterms:created>
  <dcterms:modified xsi:type="dcterms:W3CDTF">2025-11-14T00:02:24Z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