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490" windowHeight="7635" tabRatio="634" firstSheet="2" activeTab="2"/>
  </bookViews>
  <sheets>
    <sheet name="B̳ases" sheetId="2" state="hidden" r:id="rId1"/>
    <sheet name="C̳álculos" sheetId="3" state="hidden" r:id="rId2"/>
    <sheet name="D̳ashboard" sheetId="4" r:id="rId3"/>
  </sheets>
  <definedNames>
    <definedName name="SegmentaçãodeDados_REGIÃO">#N/A</definedName>
  </definedNames>
  <calcPr calcId="152511"/>
  <pivotCaches>
    <pivotCache cacheId="2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3" l="1"/>
  <c r="B18" i="3"/>
  <c r="D24" i="3"/>
</calcChain>
</file>

<file path=xl/sharedStrings.xml><?xml version="1.0" encoding="utf-8"?>
<sst xmlns="http://schemas.openxmlformats.org/spreadsheetml/2006/main" count="324" uniqueCount="90">
  <si>
    <t>Rótulos de Linha</t>
  </si>
  <si>
    <t>Total Geral</t>
  </si>
  <si>
    <t xml:space="preserve">          XBOX GAME SUBSCRIPTIONS SALES</t>
  </si>
  <si>
    <t>22/01/2025</t>
  </si>
  <si>
    <t>Yamaha MT-03</t>
  </si>
  <si>
    <t>Esportiva</t>
  </si>
  <si>
    <t>Letícia</t>
  </si>
  <si>
    <t>RS</t>
  </si>
  <si>
    <t>25/02/2025</t>
  </si>
  <si>
    <t>Yamaha Fazer 250</t>
  </si>
  <si>
    <t>Street</t>
  </si>
  <si>
    <t>Marcos</t>
  </si>
  <si>
    <t>SP</t>
  </si>
  <si>
    <t>01/02/2025</t>
  </si>
  <si>
    <t>Honda CG 160</t>
  </si>
  <si>
    <t>Bruno</t>
  </si>
  <si>
    <t>MG</t>
  </si>
  <si>
    <t>27/01/2025</t>
  </si>
  <si>
    <t>Royal Enfield Himalayan</t>
  </si>
  <si>
    <t>Trail</t>
  </si>
  <si>
    <t>PR</t>
  </si>
  <si>
    <t>21/01/2025</t>
  </si>
  <si>
    <t>Yamaha NMax 160</t>
  </si>
  <si>
    <t>Scooter</t>
  </si>
  <si>
    <t>Paula</t>
  </si>
  <si>
    <t>26/02/2025</t>
  </si>
  <si>
    <t>Suzuki Burgman 125</t>
  </si>
  <si>
    <t>Ana</t>
  </si>
  <si>
    <t>RJ</t>
  </si>
  <si>
    <t>30/04/2025</t>
  </si>
  <si>
    <t>BMW G 310 GS</t>
  </si>
  <si>
    <t>12/02/2025</t>
  </si>
  <si>
    <t>29/01/2025</t>
  </si>
  <si>
    <t>01/04/2025</t>
  </si>
  <si>
    <t>07/04/2025</t>
  </si>
  <si>
    <t>Kawasaki Ninja 400</t>
  </si>
  <si>
    <t>25/03/2025</t>
  </si>
  <si>
    <t>15/01/2025</t>
  </si>
  <si>
    <t>15/02/2025</t>
  </si>
  <si>
    <t>10/03/2025</t>
  </si>
  <si>
    <t>23/03/2025</t>
  </si>
  <si>
    <t>12/04/2025</t>
  </si>
  <si>
    <t>30/03/2025</t>
  </si>
  <si>
    <t>Honda XRE 300</t>
  </si>
  <si>
    <t>02/01/2025</t>
  </si>
  <si>
    <t>10/04/2025</t>
  </si>
  <si>
    <t>03/01/2025</t>
  </si>
  <si>
    <t>27/03/2025</t>
  </si>
  <si>
    <t>05/03/2025</t>
  </si>
  <si>
    <t>14/03/2025</t>
  </si>
  <si>
    <t>13/01/2025</t>
  </si>
  <si>
    <t>13/02/2025</t>
  </si>
  <si>
    <t>15/04/2025</t>
  </si>
  <si>
    <t>Harley Davidson Iron 883</t>
  </si>
  <si>
    <t>Custom</t>
  </si>
  <si>
    <t>16/01/2025</t>
  </si>
  <si>
    <t>24/03/2025</t>
  </si>
  <si>
    <t>Honda Biz 125</t>
  </si>
  <si>
    <t>08/01/2025</t>
  </si>
  <si>
    <t>09/04/2025</t>
  </si>
  <si>
    <t>28/01/2025</t>
  </si>
  <si>
    <t>09/02/2025</t>
  </si>
  <si>
    <t>23/04/2025</t>
  </si>
  <si>
    <t>04/03/2025</t>
  </si>
  <si>
    <t>04/04/2025</t>
  </si>
  <si>
    <t>13/03/2025</t>
  </si>
  <si>
    <t>19/01/2025</t>
  </si>
  <si>
    <t>23/01/2025</t>
  </si>
  <si>
    <t>26/03/2025</t>
  </si>
  <si>
    <t>24/02/2025</t>
  </si>
  <si>
    <t>21/03/2025</t>
  </si>
  <si>
    <t>08/04/2025</t>
  </si>
  <si>
    <t>18/01/2025</t>
  </si>
  <si>
    <t>31/01/2025</t>
  </si>
  <si>
    <t>18/03/2025</t>
  </si>
  <si>
    <t>DATA</t>
  </si>
  <si>
    <t>MODELO</t>
  </si>
  <si>
    <t>CATEGORIA</t>
  </si>
  <si>
    <t>VENDEDOR</t>
  </si>
  <si>
    <t>REGIÃO</t>
  </si>
  <si>
    <t>PREÇO</t>
  </si>
  <si>
    <t>TOTAL</t>
  </si>
  <si>
    <t>QUANT.</t>
  </si>
  <si>
    <t>Qual é o faturamento total?</t>
  </si>
  <si>
    <t>Qual é o ticket médio?</t>
  </si>
  <si>
    <t>(vazio)</t>
  </si>
  <si>
    <t>Contagem de PREÇO</t>
  </si>
  <si>
    <t>Qual regiao teve mais vendas?</t>
  </si>
  <si>
    <t>Média</t>
  </si>
  <si>
    <t>ANÁLISE DE VENDAS - CONCESSIONÁRIA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</si>
</sst>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theme="3"/>
      <name val="Segoe UI"/>
      <family val="2"/>
    </font>
    <font>
      <b/>
      <sz val="16"/>
      <color rgb="FF22C01A"/>
      <name val="Segoe UI"/>
      <family val="2"/>
    </font>
    <font>
      <sz val="14"/>
      <color theme="1"/>
      <name val="Aptos Narrow"/>
      <scheme val="minor"/>
    </font>
    <font>
      <sz val="14"/>
      <color theme="0" tint="-0.34998626667073579"/>
      <name val="Aptos Narrow"/>
      <family val="2"/>
      <scheme val="minor"/>
    </font>
    <font>
      <b/>
      <sz val="16"/>
      <color theme="8" tint="0.39997558519241921"/>
      <name val="Segoe UI"/>
      <family val="2"/>
    </font>
    <font>
      <b/>
      <sz val="13"/>
      <color theme="8" tint="0.3999755851924192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8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164" fontId="0" fillId="0" borderId="0" xfId="0" applyNumberFormat="1"/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0" fillId="0" borderId="0" xfId="0"/>
    <xf numFmtId="0" fontId="0" fillId="0" borderId="0" xfId="0"/>
    <xf numFmtId="164" fontId="0" fillId="4" borderId="0" xfId="0" applyNumberFormat="1" applyFill="1"/>
    <xf numFmtId="0" fontId="4" fillId="3" borderId="2" xfId="1" applyFont="1" applyFill="1" applyBorder="1" applyAlignment="1">
      <alignment horizontal="left" indent="2"/>
    </xf>
    <xf numFmtId="0" fontId="7" fillId="3" borderId="2" xfId="1" applyFont="1" applyFill="1" applyBorder="1"/>
    <xf numFmtId="0" fontId="8" fillId="0" borderId="2" xfId="1" applyFont="1" applyBorder="1"/>
    <xf numFmtId="0" fontId="3" fillId="0" borderId="2" xfId="1" applyFont="1" applyBorder="1"/>
    <xf numFmtId="0" fontId="0" fillId="0" borderId="2" xfId="0" applyBorder="1"/>
  </cellXfs>
  <cellStyles count="2">
    <cellStyle name="Normal" xfId="0" builtinId="0"/>
    <cellStyle name="Título 2" xfId="1" builtinId="17"/>
  </cellStyles>
  <dxfs count="11">
    <dxf>
      <numFmt numFmtId="164" formatCode="&quot;R$&quot;\ #,##0.00"/>
      <alignment horizontal="center" vertical="center" textRotation="0" wrapText="1" indent="0" justifyLastLine="0" shrinkToFit="0" readingOrder="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B05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0"/>
      <tableStyleElement type="headerRow" dxfId="9"/>
    </tableStyle>
  </tableStyles>
  <colors>
    <mruColors>
      <color rgb="FF22C01A"/>
      <color rgb="FF22C55E"/>
      <color rgb="FF5BF6A8"/>
      <color rgb="FFF7F8FC"/>
      <color rgb="FF000000"/>
      <color rgb="FFE8E6E9"/>
      <color rgb="FFE0E0E0"/>
      <color rgb="FFEDEDED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[dashboard-vendas-excel.xlsx]C̳álculos!Tabela dinâmica4</c:name>
    <c:fmtId val="3"/>
  </c:pivotSource>
  <c:chart>
    <c:autoTitleDeleted val="1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2.7575756917781986E-2"/>
          <c:y val="8.4016703320779249E-2"/>
          <c:w val="0.95333333444683044"/>
          <c:h val="0.813820128525552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C̳álculos!$B$7:$B$13</c:f>
              <c:strCache>
                <c:ptCount val="6"/>
                <c:pt idx="0">
                  <c:v>MG</c:v>
                </c:pt>
                <c:pt idx="1">
                  <c:v>PR</c:v>
                </c:pt>
                <c:pt idx="2">
                  <c:v>RJ</c:v>
                </c:pt>
                <c:pt idx="3">
                  <c:v>RS</c:v>
                </c:pt>
                <c:pt idx="4">
                  <c:v>SP</c:v>
                </c:pt>
                <c:pt idx="5">
                  <c:v>(vazio)</c:v>
                </c:pt>
              </c:strCache>
            </c:strRef>
          </c:cat>
          <c:val>
            <c:numRef>
              <c:f>C̳álculos!$C$7:$C$13</c:f>
              <c:numCache>
                <c:formatCode>General</c:formatCode>
                <c:ptCount val="6"/>
                <c:pt idx="0">
                  <c:v>17</c:v>
                </c:pt>
                <c:pt idx="1">
                  <c:v>8</c:v>
                </c:pt>
                <c:pt idx="2">
                  <c:v>10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44534608"/>
        <c:axId val="-744537872"/>
      </c:barChart>
      <c:catAx>
        <c:axId val="-7445346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744537872"/>
        <c:crosses val="autoZero"/>
        <c:auto val="1"/>
        <c:lblAlgn val="ctr"/>
        <c:lblOffset val="100"/>
        <c:noMultiLvlLbl val="0"/>
      </c:catAx>
      <c:valAx>
        <c:axId val="-744537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7445346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9</xdr:col>
      <xdr:colOff>304800</xdr:colOff>
      <xdr:row>5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16</xdr:row>
      <xdr:rowOff>0</xdr:rowOff>
    </xdr:from>
    <xdr:to>
      <xdr:col>11</xdr:col>
      <xdr:colOff>304800</xdr:colOff>
      <xdr:row>17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316365</xdr:colOff>
      <xdr:row>5</xdr:row>
      <xdr:rowOff>49324</xdr:rowOff>
    </xdr:from>
    <xdr:to>
      <xdr:col>10</xdr:col>
      <xdr:colOff>435428</xdr:colOff>
      <xdr:row>15</xdr:row>
      <xdr:rowOff>120761</xdr:rowOff>
    </xdr:to>
    <xdr:grpSp>
      <xdr:nvGrpSpPr>
        <xdr:cNvPr id="11" name="Grupo 10"/>
        <xdr:cNvGrpSpPr/>
      </xdr:nvGrpSpPr>
      <xdr:grpSpPr>
        <a:xfrm>
          <a:off x="588508" y="1410038"/>
          <a:ext cx="6242277" cy="1990044"/>
          <a:chOff x="2321719" y="1204563"/>
          <a:chExt cx="6215063" cy="1986310"/>
        </a:xfrm>
      </xdr:grpSpPr>
      <xdr:sp macro="" textlink="">
        <xdr:nvSpPr>
          <xdr:cNvPr id="7" name="Retângulo de cantos arredondados 6"/>
          <xdr:cNvSpPr/>
        </xdr:nvSpPr>
        <xdr:spPr>
          <a:xfrm>
            <a:off x="2333624" y="1452562"/>
            <a:ext cx="6203156" cy="169068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050"/>
              <a:t>===</a:t>
            </a:r>
          </a:p>
        </xdr:txBody>
      </xdr:sp>
      <xdr:sp macro="" textlink="C̳álculos!F35">
        <xdr:nvSpPr>
          <xdr:cNvPr id="8" name="Retângulo de cantos arredondados 7"/>
          <xdr:cNvSpPr/>
        </xdr:nvSpPr>
        <xdr:spPr>
          <a:xfrm>
            <a:off x="4474368" y="1785936"/>
            <a:ext cx="3550444" cy="1404937"/>
          </a:xfrm>
          <a:prstGeom prst="roundRect">
            <a:avLst>
              <a:gd name="adj" fmla="val 525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ED22C3-CB85-43CE-AC49-E0A6A88FB1D5}" type="TxLink">
              <a:rPr lang="en-US" sz="4000" b="0" i="0" u="none" strike="noStrike">
                <a:solidFill>
                  <a:srgbClr val="22C01A"/>
                </a:solidFill>
                <a:latin typeface="Aptos Narrow"/>
              </a:rPr>
              <a:pPr algn="ctr"/>
              <a:t> </a:t>
            </a:fld>
            <a:endParaRPr lang="en-US" sz="34400" b="0">
              <a:solidFill>
                <a:srgbClr val="22C01A"/>
              </a:solidFill>
            </a:endParaRPr>
          </a:p>
        </xdr:txBody>
      </xdr:sp>
      <xdr:sp macro="" textlink="">
        <xdr:nvSpPr>
          <xdr:cNvPr id="10" name="Arredondar Retângulo no Mesmo Canto Lateral 9"/>
          <xdr:cNvSpPr/>
        </xdr:nvSpPr>
        <xdr:spPr>
          <a:xfrm>
            <a:off x="2321719" y="1204563"/>
            <a:ext cx="6215063" cy="571500"/>
          </a:xfrm>
          <a:prstGeom prst="round2SameRect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FATURAMENTO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TOTAL</a:t>
            </a:r>
          </a:p>
          <a:p>
            <a:pPr algn="l"/>
            <a:endParaRPr lang="pt-BR" sz="1050"/>
          </a:p>
        </xdr:txBody>
      </xdr:sp>
    </xdr:grpSp>
    <xdr:clientData/>
  </xdr:twoCellAnchor>
  <xdr:twoCellAnchor editAs="absolute">
    <xdr:from>
      <xdr:col>20</xdr:col>
      <xdr:colOff>408213</xdr:colOff>
      <xdr:row>1</xdr:row>
      <xdr:rowOff>37419</xdr:rowOff>
    </xdr:from>
    <xdr:to>
      <xdr:col>21</xdr:col>
      <xdr:colOff>499381</xdr:colOff>
      <xdr:row>2</xdr:row>
      <xdr:rowOff>192881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13430249" y="214312"/>
          <a:ext cx="771525" cy="645319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95250</xdr:colOff>
      <xdr:row>2</xdr:row>
      <xdr:rowOff>154781</xdr:rowOff>
    </xdr:from>
    <xdr:to>
      <xdr:col>3</xdr:col>
      <xdr:colOff>188799</xdr:colOff>
      <xdr:row>2</xdr:row>
      <xdr:rowOff>381000</xdr:rowOff>
    </xdr:to>
    <xdr:sp macro="" textlink="">
      <xdr:nvSpPr>
        <xdr:cNvPr id="25" name="Retângulo 24"/>
        <xdr:cNvSpPr/>
      </xdr:nvSpPr>
      <xdr:spPr>
        <a:xfrm>
          <a:off x="95250" y="833437"/>
          <a:ext cx="1726406" cy="2262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</xdr:txBody>
    </xdr:sp>
    <xdr:clientData/>
  </xdr:twoCellAnchor>
  <xdr:twoCellAnchor>
    <xdr:from>
      <xdr:col>11</xdr:col>
      <xdr:colOff>517072</xdr:colOff>
      <xdr:row>7</xdr:row>
      <xdr:rowOff>95250</xdr:rowOff>
    </xdr:from>
    <xdr:to>
      <xdr:col>22</xdr:col>
      <xdr:colOff>598715</xdr:colOff>
      <xdr:row>32</xdr:row>
      <xdr:rowOff>0</xdr:rowOff>
    </xdr:to>
    <xdr:grpSp>
      <xdr:nvGrpSpPr>
        <xdr:cNvPr id="16" name="Grupo 15"/>
        <xdr:cNvGrpSpPr/>
      </xdr:nvGrpSpPr>
      <xdr:grpSpPr>
        <a:xfrm>
          <a:off x="7415893" y="1714500"/>
          <a:ext cx="7565572" cy="4572000"/>
          <a:chOff x="7252607" y="1129393"/>
          <a:chExt cx="7565572" cy="4572000"/>
        </a:xfrm>
      </xdr:grpSpPr>
      <xdr:sp macro="" textlink="">
        <xdr:nvSpPr>
          <xdr:cNvPr id="12" name="Retângulo de cantos arredondados 11"/>
          <xdr:cNvSpPr/>
        </xdr:nvSpPr>
        <xdr:spPr>
          <a:xfrm>
            <a:off x="7252607" y="1129393"/>
            <a:ext cx="7565572" cy="4572000"/>
          </a:xfrm>
          <a:prstGeom prst="roundRect">
            <a:avLst>
              <a:gd name="adj" fmla="val 0"/>
            </a:avLst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6" name="Gráfico 25"/>
          <xdr:cNvGraphicFramePr>
            <a:graphicFrameLocks/>
          </xdr:cNvGraphicFramePr>
        </xdr:nvGraphicFramePr>
        <xdr:xfrm>
          <a:off x="8232321" y="1197430"/>
          <a:ext cx="6327322" cy="4267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3</xdr:col>
      <xdr:colOff>353784</xdr:colOff>
      <xdr:row>8</xdr:row>
      <xdr:rowOff>136072</xdr:rowOff>
    </xdr:from>
    <xdr:to>
      <xdr:col>8</xdr:col>
      <xdr:colOff>23730</xdr:colOff>
      <xdr:row>13</xdr:row>
      <xdr:rowOff>81642</xdr:rowOff>
    </xdr:to>
    <xdr:pic>
      <xdr:nvPicPr>
        <xdr:cNvPr id="27" name="Imagem 2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6641" y="2177143"/>
          <a:ext cx="3071732" cy="830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517072</xdr:colOff>
      <xdr:row>2</xdr:row>
      <xdr:rowOff>487474</xdr:rowOff>
    </xdr:from>
    <xdr:to>
      <xdr:col>22</xdr:col>
      <xdr:colOff>625929</xdr:colOff>
      <xdr:row>7</xdr:row>
      <xdr:rowOff>107548</xdr:rowOff>
    </xdr:to>
    <xdr:sp macro="" textlink="">
      <xdr:nvSpPr>
        <xdr:cNvPr id="28" name="Arredondar Retângulo no Mesmo Canto Lateral 27"/>
        <xdr:cNvSpPr/>
      </xdr:nvSpPr>
      <xdr:spPr>
        <a:xfrm>
          <a:off x="7415893" y="1154224"/>
          <a:ext cx="7592786" cy="572574"/>
        </a:xfrm>
        <a:prstGeom prst="round2Same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VENDAS POR REGIÃO</a:t>
          </a:r>
        </a:p>
        <a:p>
          <a:pPr algn="l"/>
          <a:endParaRPr lang="pt-BR" sz="1050"/>
        </a:p>
      </xdr:txBody>
    </xdr:sp>
    <xdr:clientData/>
  </xdr:twoCellAnchor>
  <xdr:twoCellAnchor editAs="oneCell">
    <xdr:from>
      <xdr:col>23</xdr:col>
      <xdr:colOff>119743</xdr:colOff>
      <xdr:row>3</xdr:row>
      <xdr:rowOff>103414</xdr:rowOff>
    </xdr:from>
    <xdr:to>
      <xdr:col>25</xdr:col>
      <xdr:colOff>587829</xdr:colOff>
      <xdr:row>17</xdr:row>
      <xdr:rowOff>151039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REGIÃ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82850" y="126002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373515</xdr:colOff>
      <xdr:row>19</xdr:row>
      <xdr:rowOff>160902</xdr:rowOff>
    </xdr:from>
    <xdr:to>
      <xdr:col>10</xdr:col>
      <xdr:colOff>492578</xdr:colOff>
      <xdr:row>31</xdr:row>
      <xdr:rowOff>28232</xdr:rowOff>
    </xdr:to>
    <xdr:grpSp>
      <xdr:nvGrpSpPr>
        <xdr:cNvPr id="30" name="Grupo 29"/>
        <xdr:cNvGrpSpPr/>
      </xdr:nvGrpSpPr>
      <xdr:grpSpPr>
        <a:xfrm>
          <a:off x="645658" y="4147795"/>
          <a:ext cx="6242277" cy="1990044"/>
          <a:chOff x="2321719" y="1204563"/>
          <a:chExt cx="6215063" cy="1986310"/>
        </a:xfrm>
      </xdr:grpSpPr>
      <xdr:sp macro="" textlink="">
        <xdr:nvSpPr>
          <xdr:cNvPr id="31" name="Retângulo de cantos arredondados 30"/>
          <xdr:cNvSpPr/>
        </xdr:nvSpPr>
        <xdr:spPr>
          <a:xfrm>
            <a:off x="2333624" y="1452562"/>
            <a:ext cx="6203156" cy="169068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050"/>
              <a:t>====</a:t>
            </a:r>
          </a:p>
        </xdr:txBody>
      </xdr:sp>
      <xdr:sp macro="" textlink="C̳álculos!F35">
        <xdr:nvSpPr>
          <xdr:cNvPr id="32" name="Retângulo de cantos arredondados 31"/>
          <xdr:cNvSpPr/>
        </xdr:nvSpPr>
        <xdr:spPr>
          <a:xfrm>
            <a:off x="4474368" y="1785936"/>
            <a:ext cx="3550444" cy="1404937"/>
          </a:xfrm>
          <a:prstGeom prst="roundRect">
            <a:avLst>
              <a:gd name="adj" fmla="val 5251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ED22C3-CB85-43CE-AC49-E0A6A88FB1D5}" type="TxLink">
              <a:rPr lang="en-US" sz="4000" b="0" i="0" u="none" strike="noStrike">
                <a:solidFill>
                  <a:srgbClr val="22C01A"/>
                </a:solidFill>
                <a:latin typeface="Aptos Narrow"/>
              </a:rPr>
              <a:pPr algn="ctr"/>
              <a:t> </a:t>
            </a:fld>
            <a:endParaRPr lang="en-US" sz="34400" b="0">
              <a:solidFill>
                <a:srgbClr val="22C01A"/>
              </a:solidFill>
            </a:endParaRPr>
          </a:p>
        </xdr:txBody>
      </xdr:sp>
      <xdr:sp macro="" textlink="">
        <xdr:nvSpPr>
          <xdr:cNvPr id="33" name="Arredondar Retângulo no Mesmo Canto Lateral 32"/>
          <xdr:cNvSpPr/>
        </xdr:nvSpPr>
        <xdr:spPr>
          <a:xfrm>
            <a:off x="2321719" y="1204563"/>
            <a:ext cx="6215063" cy="571500"/>
          </a:xfrm>
          <a:prstGeom prst="round2SameRect">
            <a:avLst/>
          </a:prstGeom>
          <a:solidFill>
            <a:schemeClr val="accent5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TICKET MÉDIO</a:t>
            </a:r>
          </a:p>
          <a:p>
            <a:pPr algn="l"/>
            <a:endParaRPr lang="pt-BR" sz="1050"/>
          </a:p>
        </xdr:txBody>
      </xdr:sp>
    </xdr:grpSp>
    <xdr:clientData/>
  </xdr:twoCellAnchor>
  <xdr:twoCellAnchor editAs="oneCell">
    <xdr:from>
      <xdr:col>3</xdr:col>
      <xdr:colOff>598715</xdr:colOff>
      <xdr:row>23</xdr:row>
      <xdr:rowOff>122463</xdr:rowOff>
    </xdr:from>
    <xdr:to>
      <xdr:col>7</xdr:col>
      <xdr:colOff>598714</xdr:colOff>
      <xdr:row>29</xdr:row>
      <xdr:rowOff>50061</xdr:rowOff>
    </xdr:to>
    <xdr:pic>
      <xdr:nvPicPr>
        <xdr:cNvPr id="35" name="Imagem 3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1572" y="4816927"/>
          <a:ext cx="2721428" cy="988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74.891179166669" createdVersion="5" refreshedVersion="5" minRefreshableVersion="3" recordCount="61">
  <cacheSource type="worksheet">
    <worksheetSource name="Tabela1"/>
  </cacheSource>
  <cacheFields count="8">
    <cacheField name="DATA" numFmtId="0">
      <sharedItems containsBlank="1"/>
    </cacheField>
    <cacheField name="MODELO" numFmtId="0">
      <sharedItems containsBlank="1"/>
    </cacheField>
    <cacheField name="CATEGORIA" numFmtId="0">
      <sharedItems containsBlank="1"/>
    </cacheField>
    <cacheField name="VENDEDOR" numFmtId="0">
      <sharedItems containsBlank="1"/>
    </cacheField>
    <cacheField name="REGIÃO" numFmtId="0">
      <sharedItems containsBlank="1" count="6">
        <s v="RS"/>
        <s v="SP"/>
        <s v="MG"/>
        <s v="PR"/>
        <s v="RJ"/>
        <m/>
      </sharedItems>
    </cacheField>
    <cacheField name="QUANT." numFmtId="0">
      <sharedItems containsString="0" containsBlank="1" containsNumber="1" containsInteger="1" minValue="1" maxValue="1"/>
    </cacheField>
    <cacheField name="PREÇO" numFmtId="0">
      <sharedItems containsString="0" containsBlank="1" containsNumber="1" containsInteger="1" minValue="11500" maxValue="55000"/>
    </cacheField>
    <cacheField name="TOTAL" numFmtId="0">
      <sharedItems containsString="0" containsBlank="1" containsNumber="1" containsInteger="1" minValue="11500" maxValue="5500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s v="22/01/2025"/>
    <s v="Yamaha MT-03"/>
    <s v="Esportiva"/>
    <s v="Letícia"/>
    <x v="0"/>
    <n v="1"/>
    <n v="32000"/>
    <n v="32000"/>
  </r>
  <r>
    <s v="25/02/2025"/>
    <s v="Yamaha Fazer 250"/>
    <s v="Street"/>
    <s v="Marcos"/>
    <x v="1"/>
    <n v="1"/>
    <n v="19800"/>
    <n v="19800"/>
  </r>
  <r>
    <s v="01/02/2025"/>
    <s v="Honda CG 160"/>
    <s v="Street"/>
    <s v="Bruno"/>
    <x v="2"/>
    <n v="1"/>
    <n v="14500"/>
    <n v="14500"/>
  </r>
  <r>
    <s v="27/01/2025"/>
    <s v="Royal Enfield Himalayan"/>
    <s v="Trail"/>
    <s v="Bruno"/>
    <x v="3"/>
    <n v="1"/>
    <n v="28900"/>
    <n v="28900"/>
  </r>
  <r>
    <s v="21/01/2025"/>
    <s v="Yamaha NMax 160"/>
    <s v="Scooter"/>
    <s v="Paula"/>
    <x v="0"/>
    <n v="1"/>
    <n v="16500"/>
    <n v="16500"/>
  </r>
  <r>
    <s v="26/02/2025"/>
    <s v="Suzuki Burgman 125"/>
    <s v="Scooter"/>
    <s v="Ana"/>
    <x v="4"/>
    <n v="1"/>
    <n v="11500"/>
    <n v="11500"/>
  </r>
  <r>
    <s v="30/04/2025"/>
    <s v="BMW G 310 GS"/>
    <s v="Trail"/>
    <s v="Bruno"/>
    <x v="2"/>
    <n v="1"/>
    <n v="34500"/>
    <n v="34500"/>
  </r>
  <r>
    <s v="12/02/2025"/>
    <s v="Yamaha Fazer 250"/>
    <s v="Street"/>
    <s v="Bruno"/>
    <x v="2"/>
    <n v="1"/>
    <n v="19800"/>
    <n v="19800"/>
  </r>
  <r>
    <s v="29/01/2025"/>
    <s v="Royal Enfield Himalayan"/>
    <s v="Trail"/>
    <s v="Paula"/>
    <x v="0"/>
    <n v="1"/>
    <n v="28900"/>
    <n v="28900"/>
  </r>
  <r>
    <s v="01/04/2025"/>
    <s v="Yamaha MT-03"/>
    <s v="Esportiva"/>
    <s v="Paula"/>
    <x v="2"/>
    <n v="1"/>
    <n v="32000"/>
    <n v="32000"/>
  </r>
  <r>
    <s v="21/01/2025"/>
    <s v="Suzuki Burgman 125"/>
    <s v="Scooter"/>
    <s v="Bruno"/>
    <x v="2"/>
    <n v="1"/>
    <n v="11500"/>
    <n v="11500"/>
  </r>
  <r>
    <s v="30/04/2025"/>
    <s v="Suzuki Burgman 125"/>
    <s v="Scooter"/>
    <s v="Paula"/>
    <x v="1"/>
    <n v="1"/>
    <n v="11500"/>
    <n v="11500"/>
  </r>
  <r>
    <s v="07/04/2025"/>
    <s v="Kawasaki Ninja 400"/>
    <s v="Esportiva"/>
    <s v="Letícia"/>
    <x v="2"/>
    <n v="1"/>
    <n v="38000"/>
    <n v="38000"/>
  </r>
  <r>
    <s v="25/03/2025"/>
    <s v="Royal Enfield Himalayan"/>
    <s v="Trail"/>
    <s v="Bruno"/>
    <x v="1"/>
    <n v="1"/>
    <n v="28900"/>
    <n v="28900"/>
  </r>
  <r>
    <s v="15/01/2025"/>
    <s v="Royal Enfield Himalayan"/>
    <s v="Trail"/>
    <s v="Ana"/>
    <x v="0"/>
    <n v="1"/>
    <n v="28900"/>
    <n v="28900"/>
  </r>
  <r>
    <s v="15/02/2025"/>
    <s v="Suzuki Burgman 125"/>
    <s v="Scooter"/>
    <s v="Marcos"/>
    <x v="2"/>
    <n v="1"/>
    <n v="11500"/>
    <n v="11500"/>
  </r>
  <r>
    <s v="10/03/2025"/>
    <s v="Yamaha MT-03"/>
    <s v="Esportiva"/>
    <s v="Letícia"/>
    <x v="0"/>
    <n v="1"/>
    <n v="32000"/>
    <n v="32000"/>
  </r>
  <r>
    <s v="23/03/2025"/>
    <s v="Royal Enfield Himalayan"/>
    <s v="Trail"/>
    <s v="Ana"/>
    <x v="2"/>
    <n v="1"/>
    <n v="28900"/>
    <n v="28900"/>
  </r>
  <r>
    <s v="12/04/2025"/>
    <s v="Suzuki Burgman 125"/>
    <s v="Scooter"/>
    <s v="Marcos"/>
    <x v="0"/>
    <n v="1"/>
    <n v="11500"/>
    <n v="11500"/>
  </r>
  <r>
    <s v="30/03/2025"/>
    <s v="Honda XRE 300"/>
    <s v="Trail"/>
    <s v="Letícia"/>
    <x v="1"/>
    <n v="1"/>
    <n v="24500"/>
    <n v="24500"/>
  </r>
  <r>
    <s v="02/01/2025"/>
    <s v="Honda CG 160"/>
    <s v="Street"/>
    <s v="Paula"/>
    <x v="4"/>
    <n v="1"/>
    <n v="14500"/>
    <n v="14500"/>
  </r>
  <r>
    <s v="10/04/2025"/>
    <s v="Yamaha NMax 160"/>
    <s v="Scooter"/>
    <s v="Letícia"/>
    <x v="1"/>
    <n v="1"/>
    <n v="16500"/>
    <n v="16500"/>
  </r>
  <r>
    <s v="23/03/2025"/>
    <s v="Suzuki Burgman 125"/>
    <s v="Scooter"/>
    <s v="Letícia"/>
    <x v="2"/>
    <n v="1"/>
    <n v="11500"/>
    <n v="11500"/>
  </r>
  <r>
    <s v="03/01/2025"/>
    <s v="Kawasaki Ninja 400"/>
    <s v="Esportiva"/>
    <s v="Bruno"/>
    <x v="2"/>
    <n v="1"/>
    <n v="38000"/>
    <n v="38000"/>
  </r>
  <r>
    <s v="27/03/2025"/>
    <s v="Royal Enfield Himalayan"/>
    <s v="Trail"/>
    <s v="Letícia"/>
    <x v="3"/>
    <n v="1"/>
    <n v="28900"/>
    <n v="28900"/>
  </r>
  <r>
    <s v="05/03/2025"/>
    <s v="Suzuki Burgman 125"/>
    <s v="Scooter"/>
    <s v="Marcos"/>
    <x v="3"/>
    <n v="1"/>
    <n v="11500"/>
    <n v="11500"/>
  </r>
  <r>
    <s v="14/03/2025"/>
    <s v="Yamaha MT-03"/>
    <s v="Esportiva"/>
    <s v="Paula"/>
    <x v="3"/>
    <n v="1"/>
    <n v="32000"/>
    <n v="32000"/>
  </r>
  <r>
    <s v="13/01/2025"/>
    <s v="Kawasaki Ninja 400"/>
    <s v="Esportiva"/>
    <s v="Letícia"/>
    <x v="4"/>
    <n v="1"/>
    <n v="38000"/>
    <n v="38000"/>
  </r>
  <r>
    <s v="13/02/2025"/>
    <s v="Kawasaki Ninja 400"/>
    <s v="Esportiva"/>
    <s v="Marcos"/>
    <x v="1"/>
    <n v="1"/>
    <n v="38000"/>
    <n v="38000"/>
  </r>
  <r>
    <s v="15/04/2025"/>
    <s v="Harley Davidson Iron 883"/>
    <s v="Custom"/>
    <s v="Ana"/>
    <x v="1"/>
    <n v="1"/>
    <n v="55000"/>
    <n v="55000"/>
  </r>
  <r>
    <s v="16/01/2025"/>
    <s v="BMW G 310 GS"/>
    <s v="Trail"/>
    <s v="Letícia"/>
    <x v="1"/>
    <n v="1"/>
    <n v="34500"/>
    <n v="34500"/>
  </r>
  <r>
    <s v="24/03/2025"/>
    <s v="Honda Biz 125"/>
    <s v="Scooter"/>
    <s v="Paula"/>
    <x v="2"/>
    <n v="1"/>
    <n v="12000"/>
    <n v="12000"/>
  </r>
  <r>
    <s v="08/01/2025"/>
    <s v="Honda Biz 125"/>
    <s v="Scooter"/>
    <s v="Marcos"/>
    <x v="4"/>
    <n v="1"/>
    <n v="12000"/>
    <n v="12000"/>
  </r>
  <r>
    <s v="12/04/2025"/>
    <s v="Royal Enfield Himalayan"/>
    <s v="Trail"/>
    <s v="Marcos"/>
    <x v="2"/>
    <n v="1"/>
    <n v="28900"/>
    <n v="28900"/>
  </r>
  <r>
    <s v="15/01/2025"/>
    <s v="Honda CG 160"/>
    <s v="Street"/>
    <s v="Paula"/>
    <x v="2"/>
    <n v="1"/>
    <n v="14500"/>
    <n v="14500"/>
  </r>
  <r>
    <s v="09/04/2025"/>
    <s v="Kawasaki Ninja 400"/>
    <s v="Esportiva"/>
    <s v="Letícia"/>
    <x v="0"/>
    <n v="1"/>
    <n v="38000"/>
    <n v="38000"/>
  </r>
  <r>
    <s v="28/01/2025"/>
    <s v="Yamaha Fazer 250"/>
    <s v="Street"/>
    <s v="Marcos"/>
    <x v="0"/>
    <n v="1"/>
    <n v="19800"/>
    <n v="19800"/>
  </r>
  <r>
    <s v="23/03/2025"/>
    <s v="Harley Davidson Iron 883"/>
    <s v="Custom"/>
    <s v="Paula"/>
    <x v="3"/>
    <n v="1"/>
    <n v="55000"/>
    <n v="55000"/>
  </r>
  <r>
    <s v="09/02/2025"/>
    <s v="BMW G 310 GS"/>
    <s v="Trail"/>
    <s v="Ana"/>
    <x v="2"/>
    <n v="1"/>
    <n v="34500"/>
    <n v="34500"/>
  </r>
  <r>
    <s v="23/04/2025"/>
    <s v="Kawasaki Ninja 400"/>
    <s v="Esportiva"/>
    <s v="Marcos"/>
    <x v="0"/>
    <n v="1"/>
    <n v="38000"/>
    <n v="38000"/>
  </r>
  <r>
    <s v="04/03/2025"/>
    <s v="Honda XRE 300"/>
    <s v="Trail"/>
    <s v="Marcos"/>
    <x v="4"/>
    <n v="1"/>
    <n v="24500"/>
    <n v="24500"/>
  </r>
  <r>
    <s v="23/03/2025"/>
    <s v="BMW G 310 GS"/>
    <s v="Trail"/>
    <s v="Paula"/>
    <x v="0"/>
    <n v="1"/>
    <n v="34500"/>
    <n v="34500"/>
  </r>
  <r>
    <s v="04/04/2025"/>
    <s v="BMW G 310 GS"/>
    <s v="Trail"/>
    <s v="Letícia"/>
    <x v="3"/>
    <n v="1"/>
    <n v="34500"/>
    <n v="34500"/>
  </r>
  <r>
    <s v="13/03/2025"/>
    <s v="Suzuki Burgman 125"/>
    <s v="Scooter"/>
    <s v="Bruno"/>
    <x v="4"/>
    <n v="1"/>
    <n v="11500"/>
    <n v="11500"/>
  </r>
  <r>
    <s v="19/01/2025"/>
    <s v="Harley Davidson Iron 883"/>
    <s v="Custom"/>
    <s v="Marcos"/>
    <x v="1"/>
    <n v="1"/>
    <n v="55000"/>
    <n v="55000"/>
  </r>
  <r>
    <s v="23/01/2025"/>
    <s v="Honda CG 160"/>
    <s v="Street"/>
    <s v="Bruno"/>
    <x v="2"/>
    <n v="1"/>
    <n v="14500"/>
    <n v="14500"/>
  </r>
  <r>
    <s v="26/03/2025"/>
    <s v="Honda CG 160"/>
    <s v="Street"/>
    <s v="Paula"/>
    <x v="2"/>
    <n v="1"/>
    <n v="14500"/>
    <n v="14500"/>
  </r>
  <r>
    <s v="24/02/2025"/>
    <s v="Honda CG 160"/>
    <s v="Street"/>
    <s v="Ana"/>
    <x v="0"/>
    <n v="1"/>
    <n v="14500"/>
    <n v="14500"/>
  </r>
  <r>
    <s v="21/03/2025"/>
    <s v="Yamaha Fazer 250"/>
    <s v="Street"/>
    <s v="Paula"/>
    <x v="0"/>
    <n v="1"/>
    <n v="19800"/>
    <n v="19800"/>
  </r>
  <r>
    <s v="30/03/2025"/>
    <s v="Kawasaki Ninja 400"/>
    <s v="Esportiva"/>
    <s v="Marcos"/>
    <x v="0"/>
    <n v="1"/>
    <n v="38000"/>
    <n v="38000"/>
  </r>
  <r>
    <s v="25/02/2025"/>
    <s v="Honda XRE 300"/>
    <s v="Trail"/>
    <s v="Bruno"/>
    <x v="3"/>
    <n v="1"/>
    <n v="24500"/>
    <n v="24500"/>
  </r>
  <r>
    <s v="08/04/2025"/>
    <s v="Yamaha NMax 160"/>
    <s v="Scooter"/>
    <s v="Marcos"/>
    <x v="3"/>
    <n v="1"/>
    <n v="16500"/>
    <n v="16500"/>
  </r>
  <r>
    <s v="23/01/2025"/>
    <s v="Royal Enfield Himalayan"/>
    <s v="Trail"/>
    <s v="Marcos"/>
    <x v="4"/>
    <n v="1"/>
    <n v="28900"/>
    <n v="28900"/>
  </r>
  <r>
    <s v="18/01/2025"/>
    <s v="Honda Biz 125"/>
    <s v="Scooter"/>
    <s v="Paula"/>
    <x v="1"/>
    <n v="1"/>
    <n v="12000"/>
    <n v="12000"/>
  </r>
  <r>
    <s v="31/01/2025"/>
    <s v="Harley Davidson Iron 883"/>
    <s v="Custom"/>
    <s v="Paula"/>
    <x v="4"/>
    <n v="1"/>
    <n v="55000"/>
    <n v="55000"/>
  </r>
  <r>
    <s v="09/04/2025"/>
    <s v="Honda XRE 300"/>
    <s v="Trail"/>
    <s v="Letícia"/>
    <x v="0"/>
    <n v="1"/>
    <n v="24500"/>
    <n v="24500"/>
  </r>
  <r>
    <s v="26/03/2025"/>
    <s v="Honda Biz 125"/>
    <s v="Scooter"/>
    <s v="Bruno"/>
    <x v="0"/>
    <n v="1"/>
    <n v="12000"/>
    <n v="12000"/>
  </r>
  <r>
    <s v="18/03/2025"/>
    <s v="Suzuki Burgman 125"/>
    <s v="Scooter"/>
    <s v="Paula"/>
    <x v="2"/>
    <n v="1"/>
    <n v="11500"/>
    <n v="11500"/>
  </r>
  <r>
    <s v="23/04/2025"/>
    <s v="Honda CG 160"/>
    <s v="Street"/>
    <s v="Letícia"/>
    <x v="4"/>
    <n v="1"/>
    <n v="14500"/>
    <n v="14500"/>
  </r>
  <r>
    <s v="30/03/2025"/>
    <s v="Yamaha NMax 160"/>
    <s v="Scooter"/>
    <s v="Marcos"/>
    <x v="4"/>
    <n v="1"/>
    <n v="16500"/>
    <n v="16500"/>
  </r>
  <r>
    <m/>
    <m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6" cacheId="2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23:C24" firstHeaderRow="0" firstDataRow="1" firstDataCol="0"/>
  <pivotFields count="8">
    <pivotField showAll="0"/>
    <pivotField showAll="0"/>
    <pivotField showAll="0"/>
    <pivotField showAll="0"/>
    <pivotField showAll="0">
      <items count="7">
        <item x="2"/>
        <item x="3"/>
        <item x="4"/>
        <item x="0"/>
        <item x="1"/>
        <item x="5"/>
        <item t="default"/>
      </items>
    </pivotField>
    <pivotField showAll="0"/>
    <pivotField dataField="1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ntagem de PREÇO" fld="6" subtotal="count" baseField="0" baseItem="0"/>
    <dataField name="Média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2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B6:C13" firstHeaderRow="1" firstDataRow="1" firstDataCol="1"/>
  <pivotFields count="8"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x="5"/>
        <item t="default"/>
      </items>
    </pivotField>
    <pivotField showAll="0"/>
    <pivotField dataField="1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PREÇO" fld="6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REGIÃO" sourceName="REGIÃO">
  <pivotTables>
    <pivotTable tabId="3" name="Tabela dinâmica4"/>
  </pivotTables>
  <data>
    <tabular pivotCacheId="2">
      <items count="6">
        <i x="2" s="1"/>
        <i x="3" s="1"/>
        <i x="4" s="1"/>
        <i x="0" s="1"/>
        <i x="1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ÃO" cache="SegmentaçãodeDados_REGIÃO" caption="REGIÃO" rowHeight="241300"/>
</slicers>
</file>

<file path=xl/tables/table1.xml><?xml version="1.0" encoding="utf-8"?>
<table xmlns="http://schemas.openxmlformats.org/spreadsheetml/2006/main" id="1" name="Tabela1" displayName="Tabela1" ref="B1:I61" totalsRowShown="0" dataDxfId="8">
  <autoFilter ref="B1:I61"/>
  <tableColumns count="8">
    <tableColumn id="1" name="DATA" dataDxfId="7"/>
    <tableColumn id="2" name="MODELO" dataDxfId="6"/>
    <tableColumn id="3" name="CATEGORIA" dataDxfId="5"/>
    <tableColumn id="4" name="VENDEDOR" dataDxfId="4"/>
    <tableColumn id="5" name="REGIÃO" dataDxfId="3"/>
    <tableColumn id="6" name="QUANT." dataDxfId="2" dataCellStyle="Moeda"/>
    <tableColumn id="7" name="PREÇO" dataDxfId="1"/>
    <tableColumn id="8" name="TOTAL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1:I61"/>
  <sheetViews>
    <sheetView topLeftCell="A47" zoomScale="90" zoomScaleNormal="90" workbookViewId="0">
      <selection activeCell="H65" sqref="H65"/>
    </sheetView>
  </sheetViews>
  <sheetFormatPr defaultRowHeight="14.25"/>
  <cols>
    <col min="1" max="1" width="6.125" customWidth="1"/>
    <col min="2" max="2" width="17.875" bestFit="1" customWidth="1"/>
    <col min="3" max="3" width="26.625" customWidth="1"/>
    <col min="4" max="4" width="16.5" customWidth="1"/>
    <col min="5" max="5" width="15.75" customWidth="1"/>
    <col min="6" max="6" width="13.375" customWidth="1"/>
    <col min="7" max="7" width="10.375" customWidth="1"/>
    <col min="8" max="8" width="17.25" style="6" customWidth="1"/>
    <col min="9" max="9" width="16.125" customWidth="1"/>
  </cols>
  <sheetData>
    <row r="1" spans="2:9" ht="23.25" customHeight="1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82</v>
      </c>
      <c r="H1" s="10" t="s">
        <v>80</v>
      </c>
      <c r="I1" s="1" t="s">
        <v>81</v>
      </c>
    </row>
    <row r="2" spans="2:9" ht="16.5" customHeight="1">
      <c r="B2" t="s">
        <v>3</v>
      </c>
      <c r="C2" t="s">
        <v>4</v>
      </c>
      <c r="D2" t="s">
        <v>5</v>
      </c>
      <c r="E2" t="s">
        <v>6</v>
      </c>
      <c r="F2" t="s">
        <v>7</v>
      </c>
      <c r="G2">
        <v>1</v>
      </c>
      <c r="H2" s="6">
        <v>32000</v>
      </c>
      <c r="I2" s="6">
        <v>32000</v>
      </c>
    </row>
    <row r="3" spans="2:9" ht="16.5" customHeight="1"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1</v>
      </c>
      <c r="H3" s="6">
        <v>19800</v>
      </c>
      <c r="I3" s="6">
        <v>19800</v>
      </c>
    </row>
    <row r="4" spans="2:9" ht="16.5" customHeight="1">
      <c r="B4" t="s">
        <v>13</v>
      </c>
      <c r="C4" t="s">
        <v>14</v>
      </c>
      <c r="D4" t="s">
        <v>10</v>
      </c>
      <c r="E4" t="s">
        <v>15</v>
      </c>
      <c r="F4" t="s">
        <v>16</v>
      </c>
      <c r="G4">
        <v>1</v>
      </c>
      <c r="H4" s="6">
        <v>14500</v>
      </c>
      <c r="I4" s="6">
        <v>14500</v>
      </c>
    </row>
    <row r="5" spans="2:9" ht="16.5" customHeight="1">
      <c r="B5" t="s">
        <v>17</v>
      </c>
      <c r="C5" t="s">
        <v>18</v>
      </c>
      <c r="D5" t="s">
        <v>19</v>
      </c>
      <c r="E5" t="s">
        <v>15</v>
      </c>
      <c r="F5" t="s">
        <v>20</v>
      </c>
      <c r="G5">
        <v>1</v>
      </c>
      <c r="H5" s="6">
        <v>28900</v>
      </c>
      <c r="I5" s="6">
        <v>28900</v>
      </c>
    </row>
    <row r="6" spans="2:9" ht="16.5" customHeight="1">
      <c r="B6" t="s">
        <v>21</v>
      </c>
      <c r="C6" t="s">
        <v>22</v>
      </c>
      <c r="D6" t="s">
        <v>23</v>
      </c>
      <c r="E6" t="s">
        <v>24</v>
      </c>
      <c r="F6" t="s">
        <v>7</v>
      </c>
      <c r="G6">
        <v>1</v>
      </c>
      <c r="H6" s="6">
        <v>16500</v>
      </c>
      <c r="I6" s="6">
        <v>16500</v>
      </c>
    </row>
    <row r="7" spans="2:9" ht="16.5" customHeight="1">
      <c r="B7" t="s">
        <v>25</v>
      </c>
      <c r="C7" t="s">
        <v>26</v>
      </c>
      <c r="D7" t="s">
        <v>23</v>
      </c>
      <c r="E7" t="s">
        <v>27</v>
      </c>
      <c r="F7" t="s">
        <v>28</v>
      </c>
      <c r="G7">
        <v>1</v>
      </c>
      <c r="H7" s="6">
        <v>11500</v>
      </c>
      <c r="I7" s="6">
        <v>11500</v>
      </c>
    </row>
    <row r="8" spans="2:9" ht="16.5" customHeight="1">
      <c r="B8" t="s">
        <v>29</v>
      </c>
      <c r="C8" t="s">
        <v>30</v>
      </c>
      <c r="D8" t="s">
        <v>19</v>
      </c>
      <c r="E8" t="s">
        <v>15</v>
      </c>
      <c r="F8" t="s">
        <v>16</v>
      </c>
      <c r="G8">
        <v>1</v>
      </c>
      <c r="H8" s="6">
        <v>34500</v>
      </c>
      <c r="I8" s="6">
        <v>34500</v>
      </c>
    </row>
    <row r="9" spans="2:9" ht="16.5" customHeight="1">
      <c r="B9" t="s">
        <v>31</v>
      </c>
      <c r="C9" t="s">
        <v>9</v>
      </c>
      <c r="D9" t="s">
        <v>10</v>
      </c>
      <c r="E9" t="s">
        <v>15</v>
      </c>
      <c r="F9" t="s">
        <v>16</v>
      </c>
      <c r="G9">
        <v>1</v>
      </c>
      <c r="H9" s="6">
        <v>19800</v>
      </c>
      <c r="I9" s="6">
        <v>19800</v>
      </c>
    </row>
    <row r="10" spans="2:9" ht="16.5" customHeight="1">
      <c r="B10" t="s">
        <v>32</v>
      </c>
      <c r="C10" t="s">
        <v>18</v>
      </c>
      <c r="D10" t="s">
        <v>19</v>
      </c>
      <c r="E10" t="s">
        <v>24</v>
      </c>
      <c r="F10" t="s">
        <v>7</v>
      </c>
      <c r="G10">
        <v>1</v>
      </c>
      <c r="H10" s="6">
        <v>28900</v>
      </c>
      <c r="I10" s="6">
        <v>28900</v>
      </c>
    </row>
    <row r="11" spans="2:9" ht="16.5" customHeight="1">
      <c r="B11" t="s">
        <v>33</v>
      </c>
      <c r="C11" t="s">
        <v>4</v>
      </c>
      <c r="D11" t="s">
        <v>5</v>
      </c>
      <c r="E11" t="s">
        <v>24</v>
      </c>
      <c r="F11" t="s">
        <v>16</v>
      </c>
      <c r="G11">
        <v>1</v>
      </c>
      <c r="H11" s="6">
        <v>32000</v>
      </c>
      <c r="I11" s="6">
        <v>32000</v>
      </c>
    </row>
    <row r="12" spans="2:9" ht="16.5" customHeight="1">
      <c r="B12" t="s">
        <v>21</v>
      </c>
      <c r="C12" t="s">
        <v>26</v>
      </c>
      <c r="D12" t="s">
        <v>23</v>
      </c>
      <c r="E12" t="s">
        <v>15</v>
      </c>
      <c r="F12" t="s">
        <v>16</v>
      </c>
      <c r="G12">
        <v>1</v>
      </c>
      <c r="H12" s="6">
        <v>11500</v>
      </c>
      <c r="I12" s="6">
        <v>11500</v>
      </c>
    </row>
    <row r="13" spans="2:9" ht="16.5" customHeight="1">
      <c r="B13" t="s">
        <v>29</v>
      </c>
      <c r="C13" t="s">
        <v>26</v>
      </c>
      <c r="D13" t="s">
        <v>23</v>
      </c>
      <c r="E13" t="s">
        <v>24</v>
      </c>
      <c r="F13" t="s">
        <v>12</v>
      </c>
      <c r="G13">
        <v>1</v>
      </c>
      <c r="H13" s="6">
        <v>11500</v>
      </c>
      <c r="I13" s="6">
        <v>11500</v>
      </c>
    </row>
    <row r="14" spans="2:9" ht="16.5" customHeight="1">
      <c r="B14" t="s">
        <v>34</v>
      </c>
      <c r="C14" t="s">
        <v>35</v>
      </c>
      <c r="D14" t="s">
        <v>5</v>
      </c>
      <c r="E14" t="s">
        <v>6</v>
      </c>
      <c r="F14" t="s">
        <v>16</v>
      </c>
      <c r="G14">
        <v>1</v>
      </c>
      <c r="H14" s="6">
        <v>38000</v>
      </c>
      <c r="I14" s="6">
        <v>38000</v>
      </c>
    </row>
    <row r="15" spans="2:9" ht="16.5" customHeight="1">
      <c r="B15" t="s">
        <v>36</v>
      </c>
      <c r="C15" t="s">
        <v>18</v>
      </c>
      <c r="D15" t="s">
        <v>19</v>
      </c>
      <c r="E15" t="s">
        <v>15</v>
      </c>
      <c r="F15" t="s">
        <v>12</v>
      </c>
      <c r="G15">
        <v>1</v>
      </c>
      <c r="H15" s="6">
        <v>28900</v>
      </c>
      <c r="I15" s="6">
        <v>28900</v>
      </c>
    </row>
    <row r="16" spans="2:9" ht="16.5" customHeight="1">
      <c r="B16" t="s">
        <v>37</v>
      </c>
      <c r="C16" t="s">
        <v>18</v>
      </c>
      <c r="D16" t="s">
        <v>19</v>
      </c>
      <c r="E16" t="s">
        <v>27</v>
      </c>
      <c r="F16" t="s">
        <v>7</v>
      </c>
      <c r="G16">
        <v>1</v>
      </c>
      <c r="H16" s="6">
        <v>28900</v>
      </c>
      <c r="I16" s="6">
        <v>28900</v>
      </c>
    </row>
    <row r="17" spans="2:9" ht="16.5" customHeight="1">
      <c r="B17" t="s">
        <v>38</v>
      </c>
      <c r="C17" t="s">
        <v>26</v>
      </c>
      <c r="D17" t="s">
        <v>23</v>
      </c>
      <c r="E17" t="s">
        <v>11</v>
      </c>
      <c r="F17" t="s">
        <v>16</v>
      </c>
      <c r="G17">
        <v>1</v>
      </c>
      <c r="H17" s="6">
        <v>11500</v>
      </c>
      <c r="I17" s="6">
        <v>11500</v>
      </c>
    </row>
    <row r="18" spans="2:9" ht="16.5" customHeight="1">
      <c r="B18" t="s">
        <v>39</v>
      </c>
      <c r="C18" t="s">
        <v>4</v>
      </c>
      <c r="D18" t="s">
        <v>5</v>
      </c>
      <c r="E18" t="s">
        <v>6</v>
      </c>
      <c r="F18" t="s">
        <v>7</v>
      </c>
      <c r="G18">
        <v>1</v>
      </c>
      <c r="H18" s="6">
        <v>32000</v>
      </c>
      <c r="I18" s="6">
        <v>32000</v>
      </c>
    </row>
    <row r="19" spans="2:9" ht="16.5" customHeight="1">
      <c r="B19" t="s">
        <v>40</v>
      </c>
      <c r="C19" t="s">
        <v>18</v>
      </c>
      <c r="D19" t="s">
        <v>19</v>
      </c>
      <c r="E19" t="s">
        <v>27</v>
      </c>
      <c r="F19" t="s">
        <v>16</v>
      </c>
      <c r="G19">
        <v>1</v>
      </c>
      <c r="H19" s="6">
        <v>28900</v>
      </c>
      <c r="I19" s="6">
        <v>28900</v>
      </c>
    </row>
    <row r="20" spans="2:9" ht="16.5" customHeight="1">
      <c r="B20" t="s">
        <v>41</v>
      </c>
      <c r="C20" t="s">
        <v>26</v>
      </c>
      <c r="D20" t="s">
        <v>23</v>
      </c>
      <c r="E20" t="s">
        <v>11</v>
      </c>
      <c r="F20" t="s">
        <v>7</v>
      </c>
      <c r="G20">
        <v>1</v>
      </c>
      <c r="H20" s="6">
        <v>11500</v>
      </c>
      <c r="I20" s="6">
        <v>11500</v>
      </c>
    </row>
    <row r="21" spans="2:9" ht="16.5" customHeight="1">
      <c r="B21" t="s">
        <v>42</v>
      </c>
      <c r="C21" t="s">
        <v>43</v>
      </c>
      <c r="D21" t="s">
        <v>19</v>
      </c>
      <c r="E21" t="s">
        <v>6</v>
      </c>
      <c r="F21" t="s">
        <v>12</v>
      </c>
      <c r="G21">
        <v>1</v>
      </c>
      <c r="H21" s="6">
        <v>24500</v>
      </c>
      <c r="I21" s="6">
        <v>24500</v>
      </c>
    </row>
    <row r="22" spans="2:9" ht="16.5" customHeight="1">
      <c r="B22" t="s">
        <v>44</v>
      </c>
      <c r="C22" t="s">
        <v>14</v>
      </c>
      <c r="D22" t="s">
        <v>10</v>
      </c>
      <c r="E22" t="s">
        <v>24</v>
      </c>
      <c r="F22" t="s">
        <v>28</v>
      </c>
      <c r="G22">
        <v>1</v>
      </c>
      <c r="H22" s="6">
        <v>14500</v>
      </c>
      <c r="I22" s="6">
        <v>14500</v>
      </c>
    </row>
    <row r="23" spans="2:9" ht="16.5" customHeight="1">
      <c r="B23" t="s">
        <v>45</v>
      </c>
      <c r="C23" t="s">
        <v>22</v>
      </c>
      <c r="D23" t="s">
        <v>23</v>
      </c>
      <c r="E23" t="s">
        <v>6</v>
      </c>
      <c r="F23" t="s">
        <v>12</v>
      </c>
      <c r="G23">
        <v>1</v>
      </c>
      <c r="H23" s="6">
        <v>16500</v>
      </c>
      <c r="I23" s="6">
        <v>16500</v>
      </c>
    </row>
    <row r="24" spans="2:9" ht="16.5" customHeight="1">
      <c r="B24" t="s">
        <v>40</v>
      </c>
      <c r="C24" t="s">
        <v>26</v>
      </c>
      <c r="D24" t="s">
        <v>23</v>
      </c>
      <c r="E24" t="s">
        <v>6</v>
      </c>
      <c r="F24" t="s">
        <v>16</v>
      </c>
      <c r="G24">
        <v>1</v>
      </c>
      <c r="H24" s="6">
        <v>11500</v>
      </c>
      <c r="I24" s="6">
        <v>11500</v>
      </c>
    </row>
    <row r="25" spans="2:9" ht="16.5" customHeight="1">
      <c r="B25" t="s">
        <v>46</v>
      </c>
      <c r="C25" t="s">
        <v>35</v>
      </c>
      <c r="D25" t="s">
        <v>5</v>
      </c>
      <c r="E25" t="s">
        <v>15</v>
      </c>
      <c r="F25" t="s">
        <v>16</v>
      </c>
      <c r="G25">
        <v>1</v>
      </c>
      <c r="H25" s="6">
        <v>38000</v>
      </c>
      <c r="I25" s="6">
        <v>38000</v>
      </c>
    </row>
    <row r="26" spans="2:9" ht="16.5" customHeight="1">
      <c r="B26" t="s">
        <v>47</v>
      </c>
      <c r="C26" t="s">
        <v>18</v>
      </c>
      <c r="D26" t="s">
        <v>19</v>
      </c>
      <c r="E26" t="s">
        <v>6</v>
      </c>
      <c r="F26" t="s">
        <v>20</v>
      </c>
      <c r="G26">
        <v>1</v>
      </c>
      <c r="H26" s="6">
        <v>28900</v>
      </c>
      <c r="I26" s="6">
        <v>28900</v>
      </c>
    </row>
    <row r="27" spans="2:9" ht="16.5" customHeight="1">
      <c r="B27" t="s">
        <v>48</v>
      </c>
      <c r="C27" t="s">
        <v>26</v>
      </c>
      <c r="D27" t="s">
        <v>23</v>
      </c>
      <c r="E27" t="s">
        <v>11</v>
      </c>
      <c r="F27" t="s">
        <v>20</v>
      </c>
      <c r="G27">
        <v>1</v>
      </c>
      <c r="H27" s="6">
        <v>11500</v>
      </c>
      <c r="I27" s="6">
        <v>11500</v>
      </c>
    </row>
    <row r="28" spans="2:9" ht="16.5" customHeight="1">
      <c r="B28" t="s">
        <v>49</v>
      </c>
      <c r="C28" t="s">
        <v>4</v>
      </c>
      <c r="D28" t="s">
        <v>5</v>
      </c>
      <c r="E28" t="s">
        <v>24</v>
      </c>
      <c r="F28" t="s">
        <v>20</v>
      </c>
      <c r="G28">
        <v>1</v>
      </c>
      <c r="H28" s="6">
        <v>32000</v>
      </c>
      <c r="I28" s="6">
        <v>32000</v>
      </c>
    </row>
    <row r="29" spans="2:9" ht="16.5" customHeight="1">
      <c r="B29" t="s">
        <v>50</v>
      </c>
      <c r="C29" t="s">
        <v>35</v>
      </c>
      <c r="D29" t="s">
        <v>5</v>
      </c>
      <c r="E29" t="s">
        <v>6</v>
      </c>
      <c r="F29" t="s">
        <v>28</v>
      </c>
      <c r="G29">
        <v>1</v>
      </c>
      <c r="H29" s="6">
        <v>38000</v>
      </c>
      <c r="I29" s="6">
        <v>38000</v>
      </c>
    </row>
    <row r="30" spans="2:9" ht="16.5" customHeight="1">
      <c r="B30" t="s">
        <v>51</v>
      </c>
      <c r="C30" t="s">
        <v>35</v>
      </c>
      <c r="D30" t="s">
        <v>5</v>
      </c>
      <c r="E30" t="s">
        <v>11</v>
      </c>
      <c r="F30" t="s">
        <v>12</v>
      </c>
      <c r="G30">
        <v>1</v>
      </c>
      <c r="H30" s="6">
        <v>38000</v>
      </c>
      <c r="I30" s="6">
        <v>38000</v>
      </c>
    </row>
    <row r="31" spans="2:9" ht="16.5" customHeight="1">
      <c r="B31" t="s">
        <v>52</v>
      </c>
      <c r="C31" t="s">
        <v>53</v>
      </c>
      <c r="D31" t="s">
        <v>54</v>
      </c>
      <c r="E31" t="s">
        <v>27</v>
      </c>
      <c r="F31" t="s">
        <v>12</v>
      </c>
      <c r="G31">
        <v>1</v>
      </c>
      <c r="H31" s="6">
        <v>55000</v>
      </c>
      <c r="I31" s="6">
        <v>55000</v>
      </c>
    </row>
    <row r="32" spans="2:9" ht="16.5" customHeight="1">
      <c r="B32" t="s">
        <v>55</v>
      </c>
      <c r="C32" t="s">
        <v>30</v>
      </c>
      <c r="D32" t="s">
        <v>19</v>
      </c>
      <c r="E32" t="s">
        <v>6</v>
      </c>
      <c r="F32" t="s">
        <v>12</v>
      </c>
      <c r="G32">
        <v>1</v>
      </c>
      <c r="H32" s="6">
        <v>34500</v>
      </c>
      <c r="I32" s="6">
        <v>34500</v>
      </c>
    </row>
    <row r="33" spans="2:9" ht="16.5" customHeight="1">
      <c r="B33" t="s">
        <v>56</v>
      </c>
      <c r="C33" t="s">
        <v>57</v>
      </c>
      <c r="D33" t="s">
        <v>23</v>
      </c>
      <c r="E33" t="s">
        <v>24</v>
      </c>
      <c r="F33" t="s">
        <v>16</v>
      </c>
      <c r="G33">
        <v>1</v>
      </c>
      <c r="H33" s="6">
        <v>12000</v>
      </c>
      <c r="I33" s="6">
        <v>12000</v>
      </c>
    </row>
    <row r="34" spans="2:9" ht="16.5" customHeight="1">
      <c r="B34" t="s">
        <v>58</v>
      </c>
      <c r="C34" t="s">
        <v>57</v>
      </c>
      <c r="D34" t="s">
        <v>23</v>
      </c>
      <c r="E34" t="s">
        <v>11</v>
      </c>
      <c r="F34" t="s">
        <v>28</v>
      </c>
      <c r="G34">
        <v>1</v>
      </c>
      <c r="H34" s="6">
        <v>12000</v>
      </c>
      <c r="I34" s="6">
        <v>12000</v>
      </c>
    </row>
    <row r="35" spans="2:9" ht="16.5" customHeight="1">
      <c r="B35" t="s">
        <v>41</v>
      </c>
      <c r="C35" t="s">
        <v>18</v>
      </c>
      <c r="D35" t="s">
        <v>19</v>
      </c>
      <c r="E35" t="s">
        <v>11</v>
      </c>
      <c r="F35" t="s">
        <v>16</v>
      </c>
      <c r="G35">
        <v>1</v>
      </c>
      <c r="H35" s="6">
        <v>28900</v>
      </c>
      <c r="I35" s="6">
        <v>28900</v>
      </c>
    </row>
    <row r="36" spans="2:9" ht="16.5" customHeight="1">
      <c r="B36" t="s">
        <v>37</v>
      </c>
      <c r="C36" t="s">
        <v>14</v>
      </c>
      <c r="D36" t="s">
        <v>10</v>
      </c>
      <c r="E36" t="s">
        <v>24</v>
      </c>
      <c r="F36" t="s">
        <v>16</v>
      </c>
      <c r="G36">
        <v>1</v>
      </c>
      <c r="H36" s="6">
        <v>14500</v>
      </c>
      <c r="I36" s="6">
        <v>14500</v>
      </c>
    </row>
    <row r="37" spans="2:9" ht="16.5" customHeight="1">
      <c r="B37" t="s">
        <v>59</v>
      </c>
      <c r="C37" t="s">
        <v>35</v>
      </c>
      <c r="D37" t="s">
        <v>5</v>
      </c>
      <c r="E37" t="s">
        <v>6</v>
      </c>
      <c r="F37" t="s">
        <v>7</v>
      </c>
      <c r="G37">
        <v>1</v>
      </c>
      <c r="H37" s="6">
        <v>38000</v>
      </c>
      <c r="I37" s="6">
        <v>38000</v>
      </c>
    </row>
    <row r="38" spans="2:9" ht="16.5" customHeight="1">
      <c r="B38" t="s">
        <v>60</v>
      </c>
      <c r="C38" t="s">
        <v>9</v>
      </c>
      <c r="D38" t="s">
        <v>10</v>
      </c>
      <c r="E38" t="s">
        <v>11</v>
      </c>
      <c r="F38" t="s">
        <v>7</v>
      </c>
      <c r="G38">
        <v>1</v>
      </c>
      <c r="H38" s="6">
        <v>19800</v>
      </c>
      <c r="I38" s="6">
        <v>19800</v>
      </c>
    </row>
    <row r="39" spans="2:9" ht="16.5" customHeight="1">
      <c r="B39" t="s">
        <v>40</v>
      </c>
      <c r="C39" t="s">
        <v>53</v>
      </c>
      <c r="D39" t="s">
        <v>54</v>
      </c>
      <c r="E39" t="s">
        <v>24</v>
      </c>
      <c r="F39" t="s">
        <v>20</v>
      </c>
      <c r="G39">
        <v>1</v>
      </c>
      <c r="H39" s="6">
        <v>55000</v>
      </c>
      <c r="I39" s="6">
        <v>55000</v>
      </c>
    </row>
    <row r="40" spans="2:9" ht="16.5" customHeight="1">
      <c r="B40" t="s">
        <v>61</v>
      </c>
      <c r="C40" t="s">
        <v>30</v>
      </c>
      <c r="D40" t="s">
        <v>19</v>
      </c>
      <c r="E40" t="s">
        <v>27</v>
      </c>
      <c r="F40" t="s">
        <v>16</v>
      </c>
      <c r="G40">
        <v>1</v>
      </c>
      <c r="H40" s="6">
        <v>34500</v>
      </c>
      <c r="I40" s="6">
        <v>34500</v>
      </c>
    </row>
    <row r="41" spans="2:9" ht="16.5" customHeight="1">
      <c r="B41" t="s">
        <v>62</v>
      </c>
      <c r="C41" t="s">
        <v>35</v>
      </c>
      <c r="D41" t="s">
        <v>5</v>
      </c>
      <c r="E41" t="s">
        <v>11</v>
      </c>
      <c r="F41" t="s">
        <v>7</v>
      </c>
      <c r="G41">
        <v>1</v>
      </c>
      <c r="H41" s="6">
        <v>38000</v>
      </c>
      <c r="I41" s="6">
        <v>38000</v>
      </c>
    </row>
    <row r="42" spans="2:9" ht="16.5" customHeight="1">
      <c r="B42" t="s">
        <v>63</v>
      </c>
      <c r="C42" t="s">
        <v>43</v>
      </c>
      <c r="D42" t="s">
        <v>19</v>
      </c>
      <c r="E42" t="s">
        <v>11</v>
      </c>
      <c r="F42" t="s">
        <v>28</v>
      </c>
      <c r="G42">
        <v>1</v>
      </c>
      <c r="H42" s="6">
        <v>24500</v>
      </c>
      <c r="I42" s="6">
        <v>24500</v>
      </c>
    </row>
    <row r="43" spans="2:9" ht="16.5" customHeight="1">
      <c r="B43" t="s">
        <v>40</v>
      </c>
      <c r="C43" t="s">
        <v>30</v>
      </c>
      <c r="D43" t="s">
        <v>19</v>
      </c>
      <c r="E43" t="s">
        <v>24</v>
      </c>
      <c r="F43" t="s">
        <v>7</v>
      </c>
      <c r="G43">
        <v>1</v>
      </c>
      <c r="H43" s="6">
        <v>34500</v>
      </c>
      <c r="I43" s="6">
        <v>34500</v>
      </c>
    </row>
    <row r="44" spans="2:9" ht="16.5" customHeight="1">
      <c r="B44" t="s">
        <v>64</v>
      </c>
      <c r="C44" t="s">
        <v>30</v>
      </c>
      <c r="D44" t="s">
        <v>19</v>
      </c>
      <c r="E44" t="s">
        <v>6</v>
      </c>
      <c r="F44" t="s">
        <v>20</v>
      </c>
      <c r="G44">
        <v>1</v>
      </c>
      <c r="H44" s="6">
        <v>34500</v>
      </c>
      <c r="I44" s="6">
        <v>34500</v>
      </c>
    </row>
    <row r="45" spans="2:9" ht="16.5" customHeight="1">
      <c r="B45" t="s">
        <v>65</v>
      </c>
      <c r="C45" t="s">
        <v>26</v>
      </c>
      <c r="D45" t="s">
        <v>23</v>
      </c>
      <c r="E45" t="s">
        <v>15</v>
      </c>
      <c r="F45" t="s">
        <v>28</v>
      </c>
      <c r="G45">
        <v>1</v>
      </c>
      <c r="H45" s="6">
        <v>11500</v>
      </c>
      <c r="I45" s="6">
        <v>11500</v>
      </c>
    </row>
    <row r="46" spans="2:9" ht="16.5" customHeight="1">
      <c r="B46" t="s">
        <v>66</v>
      </c>
      <c r="C46" t="s">
        <v>53</v>
      </c>
      <c r="D46" t="s">
        <v>54</v>
      </c>
      <c r="E46" t="s">
        <v>11</v>
      </c>
      <c r="F46" t="s">
        <v>12</v>
      </c>
      <c r="G46">
        <v>1</v>
      </c>
      <c r="H46" s="6">
        <v>55000</v>
      </c>
      <c r="I46" s="6">
        <v>55000</v>
      </c>
    </row>
    <row r="47" spans="2:9" ht="16.5" customHeight="1">
      <c r="B47" t="s">
        <v>67</v>
      </c>
      <c r="C47" t="s">
        <v>14</v>
      </c>
      <c r="D47" t="s">
        <v>10</v>
      </c>
      <c r="E47" t="s">
        <v>15</v>
      </c>
      <c r="F47" t="s">
        <v>16</v>
      </c>
      <c r="G47">
        <v>1</v>
      </c>
      <c r="H47" s="6">
        <v>14500</v>
      </c>
      <c r="I47" s="6">
        <v>14500</v>
      </c>
    </row>
    <row r="48" spans="2:9" ht="16.5" customHeight="1">
      <c r="B48" t="s">
        <v>68</v>
      </c>
      <c r="C48" t="s">
        <v>14</v>
      </c>
      <c r="D48" t="s">
        <v>10</v>
      </c>
      <c r="E48" t="s">
        <v>24</v>
      </c>
      <c r="F48" t="s">
        <v>16</v>
      </c>
      <c r="G48">
        <v>1</v>
      </c>
      <c r="H48" s="6">
        <v>14500</v>
      </c>
      <c r="I48" s="6">
        <v>14500</v>
      </c>
    </row>
    <row r="49" spans="2:9" ht="16.5" customHeight="1">
      <c r="B49" t="s">
        <v>69</v>
      </c>
      <c r="C49" t="s">
        <v>14</v>
      </c>
      <c r="D49" t="s">
        <v>10</v>
      </c>
      <c r="E49" t="s">
        <v>27</v>
      </c>
      <c r="F49" t="s">
        <v>7</v>
      </c>
      <c r="G49">
        <v>1</v>
      </c>
      <c r="H49" s="6">
        <v>14500</v>
      </c>
      <c r="I49" s="6">
        <v>14500</v>
      </c>
    </row>
    <row r="50" spans="2:9" ht="16.5" customHeight="1">
      <c r="B50" t="s">
        <v>70</v>
      </c>
      <c r="C50" t="s">
        <v>9</v>
      </c>
      <c r="D50" t="s">
        <v>10</v>
      </c>
      <c r="E50" t="s">
        <v>24</v>
      </c>
      <c r="F50" t="s">
        <v>7</v>
      </c>
      <c r="G50">
        <v>1</v>
      </c>
      <c r="H50" s="6">
        <v>19800</v>
      </c>
      <c r="I50" s="6">
        <v>19800</v>
      </c>
    </row>
    <row r="51" spans="2:9" ht="16.5" customHeight="1">
      <c r="B51" t="s">
        <v>42</v>
      </c>
      <c r="C51" t="s">
        <v>35</v>
      </c>
      <c r="D51" t="s">
        <v>5</v>
      </c>
      <c r="E51" t="s">
        <v>11</v>
      </c>
      <c r="F51" t="s">
        <v>7</v>
      </c>
      <c r="G51">
        <v>1</v>
      </c>
      <c r="H51" s="6">
        <v>38000</v>
      </c>
      <c r="I51" s="6">
        <v>38000</v>
      </c>
    </row>
    <row r="52" spans="2:9" ht="16.5" customHeight="1">
      <c r="B52" t="s">
        <v>8</v>
      </c>
      <c r="C52" t="s">
        <v>43</v>
      </c>
      <c r="D52" t="s">
        <v>19</v>
      </c>
      <c r="E52" t="s">
        <v>15</v>
      </c>
      <c r="F52" t="s">
        <v>20</v>
      </c>
      <c r="G52">
        <v>1</v>
      </c>
      <c r="H52" s="6">
        <v>24500</v>
      </c>
      <c r="I52" s="6">
        <v>24500</v>
      </c>
    </row>
    <row r="53" spans="2:9" ht="16.5" customHeight="1">
      <c r="B53" t="s">
        <v>71</v>
      </c>
      <c r="C53" t="s">
        <v>22</v>
      </c>
      <c r="D53" t="s">
        <v>23</v>
      </c>
      <c r="E53" t="s">
        <v>11</v>
      </c>
      <c r="F53" t="s">
        <v>20</v>
      </c>
      <c r="G53">
        <v>1</v>
      </c>
      <c r="H53" s="6">
        <v>16500</v>
      </c>
      <c r="I53" s="6">
        <v>16500</v>
      </c>
    </row>
    <row r="54" spans="2:9" ht="16.5" customHeight="1">
      <c r="B54" t="s">
        <v>67</v>
      </c>
      <c r="C54" t="s">
        <v>18</v>
      </c>
      <c r="D54" t="s">
        <v>19</v>
      </c>
      <c r="E54" t="s">
        <v>11</v>
      </c>
      <c r="F54" t="s">
        <v>28</v>
      </c>
      <c r="G54">
        <v>1</v>
      </c>
      <c r="H54" s="6">
        <v>28900</v>
      </c>
      <c r="I54" s="6">
        <v>28900</v>
      </c>
    </row>
    <row r="55" spans="2:9" ht="16.5" customHeight="1">
      <c r="B55" t="s">
        <v>72</v>
      </c>
      <c r="C55" t="s">
        <v>57</v>
      </c>
      <c r="D55" t="s">
        <v>23</v>
      </c>
      <c r="E55" t="s">
        <v>24</v>
      </c>
      <c r="F55" t="s">
        <v>12</v>
      </c>
      <c r="G55">
        <v>1</v>
      </c>
      <c r="H55" s="6">
        <v>12000</v>
      </c>
      <c r="I55" s="6">
        <v>12000</v>
      </c>
    </row>
    <row r="56" spans="2:9" ht="16.5" customHeight="1">
      <c r="B56" t="s">
        <v>73</v>
      </c>
      <c r="C56" t="s">
        <v>53</v>
      </c>
      <c r="D56" t="s">
        <v>54</v>
      </c>
      <c r="E56" t="s">
        <v>24</v>
      </c>
      <c r="F56" t="s">
        <v>28</v>
      </c>
      <c r="G56">
        <v>1</v>
      </c>
      <c r="H56" s="6">
        <v>55000</v>
      </c>
      <c r="I56" s="6">
        <v>55000</v>
      </c>
    </row>
    <row r="57" spans="2:9" ht="16.5" customHeight="1">
      <c r="B57" t="s">
        <v>59</v>
      </c>
      <c r="C57" t="s">
        <v>43</v>
      </c>
      <c r="D57" t="s">
        <v>19</v>
      </c>
      <c r="E57" t="s">
        <v>6</v>
      </c>
      <c r="F57" t="s">
        <v>7</v>
      </c>
      <c r="G57">
        <v>1</v>
      </c>
      <c r="H57" s="6">
        <v>24500</v>
      </c>
      <c r="I57" s="6">
        <v>24500</v>
      </c>
    </row>
    <row r="58" spans="2:9" ht="16.5" customHeight="1">
      <c r="B58" t="s">
        <v>68</v>
      </c>
      <c r="C58" t="s">
        <v>57</v>
      </c>
      <c r="D58" t="s">
        <v>23</v>
      </c>
      <c r="E58" t="s">
        <v>15</v>
      </c>
      <c r="F58" t="s">
        <v>7</v>
      </c>
      <c r="G58">
        <v>1</v>
      </c>
      <c r="H58" s="6">
        <v>12000</v>
      </c>
      <c r="I58" s="6">
        <v>12000</v>
      </c>
    </row>
    <row r="59" spans="2:9" ht="16.5" customHeight="1">
      <c r="B59" t="s">
        <v>74</v>
      </c>
      <c r="C59" t="s">
        <v>26</v>
      </c>
      <c r="D59" t="s">
        <v>23</v>
      </c>
      <c r="E59" t="s">
        <v>24</v>
      </c>
      <c r="F59" t="s">
        <v>16</v>
      </c>
      <c r="G59">
        <v>1</v>
      </c>
      <c r="H59" s="6">
        <v>11500</v>
      </c>
      <c r="I59" s="6">
        <v>11500</v>
      </c>
    </row>
    <row r="60" spans="2:9" ht="16.5" customHeight="1">
      <c r="B60" t="s">
        <v>62</v>
      </c>
      <c r="C60" t="s">
        <v>14</v>
      </c>
      <c r="D60" t="s">
        <v>10</v>
      </c>
      <c r="E60" t="s">
        <v>6</v>
      </c>
      <c r="F60" t="s">
        <v>28</v>
      </c>
      <c r="G60">
        <v>1</v>
      </c>
      <c r="H60" s="6">
        <v>14500</v>
      </c>
      <c r="I60" s="6">
        <v>14500</v>
      </c>
    </row>
    <row r="61" spans="2:9" ht="16.5" customHeight="1">
      <c r="B61" t="s">
        <v>42</v>
      </c>
      <c r="C61" t="s">
        <v>22</v>
      </c>
      <c r="D61" t="s">
        <v>23</v>
      </c>
      <c r="E61" t="s">
        <v>11</v>
      </c>
      <c r="F61" t="s">
        <v>28</v>
      </c>
      <c r="G61">
        <v>1</v>
      </c>
      <c r="H61" s="6">
        <v>16500</v>
      </c>
      <c r="I61" s="6">
        <v>16500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F47"/>
  <sheetViews>
    <sheetView showGridLines="0" topLeftCell="A4" zoomScaleNormal="100" workbookViewId="0">
      <selection activeCell="D25" sqref="D25"/>
    </sheetView>
  </sheetViews>
  <sheetFormatPr defaultRowHeight="14.25"/>
  <cols>
    <col min="2" max="2" width="18" customWidth="1"/>
    <col min="3" max="3" width="20.125" customWidth="1"/>
    <col min="4" max="4" width="11.875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9"/>
      <c r="C3" s="9"/>
    </row>
    <row r="4" spans="2:6">
      <c r="B4" s="9" t="s">
        <v>87</v>
      </c>
      <c r="C4" s="9"/>
    </row>
    <row r="5" spans="2:6" s="9" customFormat="1"/>
    <row r="6" spans="2:6" s="9" customFormat="1">
      <c r="B6" s="2" t="s">
        <v>0</v>
      </c>
      <c r="C6" t="s">
        <v>86</v>
      </c>
      <c r="D6"/>
    </row>
    <row r="7" spans="2:6">
      <c r="B7" s="3" t="s">
        <v>16</v>
      </c>
      <c r="C7" s="4">
        <v>17</v>
      </c>
    </row>
    <row r="8" spans="2:6" s="9" customFormat="1">
      <c r="B8" s="3" t="s">
        <v>20</v>
      </c>
      <c r="C8" s="4">
        <v>8</v>
      </c>
      <c r="D8"/>
    </row>
    <row r="9" spans="2:6" s="9" customFormat="1">
      <c r="B9" s="3" t="s">
        <v>28</v>
      </c>
      <c r="C9" s="4">
        <v>10</v>
      </c>
      <c r="D9"/>
      <c r="E9" s="12"/>
      <c r="F9" s="12"/>
    </row>
    <row r="10" spans="2:6" s="9" customFormat="1">
      <c r="B10" s="3" t="s">
        <v>7</v>
      </c>
      <c r="C10" s="4">
        <v>15</v>
      </c>
      <c r="D10"/>
    </row>
    <row r="11" spans="2:6">
      <c r="B11" s="3" t="s">
        <v>12</v>
      </c>
      <c r="C11" s="4">
        <v>10</v>
      </c>
    </row>
    <row r="12" spans="2:6" s="9" customFormat="1">
      <c r="B12" s="3" t="s">
        <v>85</v>
      </c>
      <c r="C12" s="4"/>
      <c r="D12"/>
    </row>
    <row r="13" spans="2:6" s="9" customFormat="1">
      <c r="B13" s="3" t="s">
        <v>1</v>
      </c>
      <c r="C13" s="4">
        <v>60</v>
      </c>
      <c r="D13"/>
    </row>
    <row r="14" spans="2:6" s="9" customFormat="1">
      <c r="B14"/>
      <c r="C14"/>
      <c r="D14"/>
    </row>
    <row r="15" spans="2:6" s="9" customFormat="1">
      <c r="B15"/>
      <c r="C15"/>
      <c r="D15"/>
    </row>
    <row r="16" spans="2:6">
      <c r="B16" s="11" t="s">
        <v>83</v>
      </c>
      <c r="C16" s="11"/>
    </row>
    <row r="18" spans="2:4">
      <c r="B18" s="13">
        <f>SUM(Tabela1[TOTAL])</f>
        <v>1513900</v>
      </c>
      <c r="C18" s="6">
        <f>B18</f>
        <v>1513900</v>
      </c>
    </row>
    <row r="21" spans="2:4">
      <c r="B21" t="s">
        <v>84</v>
      </c>
    </row>
    <row r="23" spans="2:4">
      <c r="B23" s="12" t="s">
        <v>86</v>
      </c>
      <c r="C23" s="12" t="s">
        <v>88</v>
      </c>
    </row>
    <row r="24" spans="2:4">
      <c r="B24" s="4">
        <v>60</v>
      </c>
      <c r="C24" s="4">
        <v>25231.666666666668</v>
      </c>
      <c r="D24">
        <f>GETPIVOTDATA("Média",$B$23)</f>
        <v>25231.666666666668</v>
      </c>
    </row>
    <row r="31" spans="2:4">
      <c r="B31" s="9"/>
    </row>
    <row r="32" spans="2:4">
      <c r="B32" s="3"/>
      <c r="C32" s="4"/>
    </row>
    <row r="33" spans="2:6">
      <c r="B33" s="3"/>
      <c r="C33" s="4"/>
    </row>
    <row r="34" spans="2:6">
      <c r="B34" s="3"/>
      <c r="C34" s="4"/>
    </row>
    <row r="35" spans="2:6">
      <c r="B35" s="3"/>
      <c r="C35" s="4"/>
      <c r="F35" s="6"/>
    </row>
    <row r="41" spans="2:6">
      <c r="B41" s="9"/>
    </row>
    <row r="43" spans="2:6">
      <c r="B43" s="9"/>
    </row>
    <row r="44" spans="2:6">
      <c r="B44" s="3"/>
      <c r="C44" s="4"/>
    </row>
    <row r="45" spans="2:6">
      <c r="B45" s="3"/>
      <c r="C45" s="4"/>
    </row>
    <row r="46" spans="2:6">
      <c r="B46" s="3"/>
      <c r="C46" s="4"/>
      <c r="F46" s="6"/>
    </row>
    <row r="47" spans="2:6">
      <c r="B47" s="3"/>
      <c r="C47" s="4"/>
    </row>
  </sheetData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37"/>
  <sheetViews>
    <sheetView showGridLines="0" showRowColHeaders="0" tabSelected="1" zoomScale="70" zoomScaleNormal="70" workbookViewId="0">
      <selection activeCell="K19" sqref="K19"/>
    </sheetView>
  </sheetViews>
  <sheetFormatPr defaultRowHeight="14.25"/>
  <cols>
    <col min="1" max="1" width="3.625" customWidth="1"/>
    <col min="11" max="11" width="6.625" customWidth="1"/>
  </cols>
  <sheetData>
    <row r="2" spans="1:21" ht="39" customHeight="1" thickBot="1">
      <c r="A2" s="14" t="s">
        <v>2</v>
      </c>
      <c r="B2" s="15" t="s">
        <v>89</v>
      </c>
      <c r="C2" s="15"/>
      <c r="D2" s="15"/>
      <c r="E2" s="15"/>
      <c r="F2" s="16"/>
      <c r="G2" s="16"/>
      <c r="H2" s="17"/>
      <c r="I2" s="17"/>
      <c r="J2" s="17"/>
      <c r="K2" s="17"/>
      <c r="L2" s="17"/>
      <c r="M2" s="17"/>
      <c r="N2" s="17"/>
      <c r="O2" s="17"/>
      <c r="P2" s="17"/>
      <c r="Q2" s="18"/>
      <c r="R2" s="18"/>
      <c r="S2" s="18"/>
      <c r="T2" s="18"/>
      <c r="U2" s="18"/>
    </row>
    <row r="3" spans="1:21" ht="39" customHeight="1" thickTop="1"/>
    <row r="4" spans="1:21" s="5" customFormat="1" ht="8.25" customHeight="1"/>
    <row r="5" spans="1:21" s="5" customFormat="1" ht="7.5" customHeight="1"/>
    <row r="6" spans="1:21" s="5" customFormat="1" ht="10.5" customHeight="1">
      <c r="C6" s="7"/>
    </row>
    <row r="7" spans="1:21" s="5" customFormat="1" ht="9.75" customHeight="1">
      <c r="C7" s="7"/>
    </row>
    <row r="8" spans="1:21" s="5" customFormat="1" ht="33" customHeight="1">
      <c r="C8" s="8"/>
    </row>
    <row r="9" spans="1:21" s="5" customFormat="1"/>
    <row r="10" spans="1:21" s="5" customFormat="1"/>
    <row r="11" spans="1:21" s="5" customFormat="1"/>
    <row r="12" spans="1:21" s="5" customFormat="1"/>
    <row r="13" spans="1:21" s="5" customFormat="1"/>
    <row r="14" spans="1:21" s="5" customFormat="1"/>
    <row r="15" spans="1:21" s="5" customFormat="1"/>
    <row r="16" spans="1:21" s="5" customFormat="1"/>
    <row r="17" s="5" customFormat="1"/>
    <row r="18" s="5" customFormat="1"/>
    <row r="19" s="5" customFormat="1"/>
    <row r="20" s="5" customFormat="1"/>
    <row r="21" s="5" customFormat="1"/>
    <row r="22" s="5" customFormat="1"/>
    <row r="23" s="5" customFormat="1"/>
    <row r="24" s="5" customFormat="1"/>
    <row r="25" s="5" customFormat="1"/>
    <row r="26" s="5" customFormat="1"/>
    <row r="27" s="5" customFormat="1"/>
    <row r="28" s="5" customFormat="1"/>
    <row r="29" s="5" customFormat="1"/>
    <row r="30" s="5" customFormat="1"/>
    <row r="31" s="5" customFormat="1"/>
    <row r="32" s="5" customFormat="1"/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851b35d3-0456-4d6a-bc2f-da927e91d158"/>
    <ds:schemaRef ds:uri="http://www.w3.org/XML/1998/namespace"/>
    <ds:schemaRef ds:uri="19483571-f922-4e8e-9c1c-26f0a2252132"/>
    <ds:schemaRef ds:uri="http://purl.org/dc/dcmitype/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2025-11-14T01:07:09Z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